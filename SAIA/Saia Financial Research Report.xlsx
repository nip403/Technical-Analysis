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ranc\OneDrive\Desktop\NYU\Lions FInancial\Saia, Inc\"/>
    </mc:Choice>
  </mc:AlternateContent>
  <xr:revisionPtr revIDLastSave="0" documentId="13_ncr:1_{AF4F31D8-0706-4D7B-9EA8-7E0BE49FCAF1}" xr6:coauthVersionLast="47" xr6:coauthVersionMax="47" xr10:uidLastSave="{00000000-0000-0000-0000-000000000000}"/>
  <bookViews>
    <workbookView xWindow="-120" yWindow="-120" windowWidth="29040" windowHeight="17520" xr2:uid="{00000000-000D-0000-FFFF-FFFF00000000}"/>
  </bookViews>
  <sheets>
    <sheet name="Overview" sheetId="18" r:id="rId1"/>
    <sheet name="Charts (Hidden)" sheetId="22" state="hidden" r:id="rId2"/>
    <sheet name="Inputs &amp; Assumptions" sheetId="1" r:id="rId3"/>
    <sheet name="BS" sheetId="3" r:id="rId4"/>
    <sheet name="IS" sheetId="13" r:id="rId5"/>
    <sheet name="CF" sheetId="15" r:id="rId6"/>
    <sheet name="DCF" sheetId="20" r:id="rId7"/>
    <sheet name="WACC" sheetId="21" r:id="rId8"/>
    <sheet name="Comparables" sheetId="24" r:id="rId9"/>
    <sheet name="Supporting Schedules" sheetId="16" r:id="rId10"/>
    <sheet name="Stock Benchmark Statistics" sheetId="25" r:id="rId11"/>
  </sheets>
  <definedNames>
    <definedName name="_xlchart.v1.0" hidden="1">'Charts (Hidden)'!$B$7</definedName>
    <definedName name="_xlchart.v1.1" hidden="1">'Charts (Hidden)'!$B$8:$B$12</definedName>
    <definedName name="_xlchart.v1.2" hidden="1">'Charts (Hidden)'!$C$7</definedName>
    <definedName name="_xlchart.v1.3" hidden="1">'Charts (Hidden)'!$C$8:$C$12</definedName>
    <definedName name="_xlchart.v1.4" hidden="1">'Charts (Hidden)'!$D$7</definedName>
    <definedName name="_xlchart.v1.5" hidden="1">'Charts (Hidden)'!$D$8:$D$12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4" l="1"/>
  <c r="D7" i="24"/>
  <c r="L7" i="24"/>
  <c r="G7" i="24" s="1"/>
  <c r="E8" i="24"/>
  <c r="D8" i="24"/>
  <c r="E6" i="24"/>
  <c r="D6" i="24"/>
  <c r="E5" i="24"/>
  <c r="D5" i="24"/>
  <c r="L8" i="24"/>
  <c r="G8" i="24" s="1"/>
  <c r="L6" i="24"/>
  <c r="G6" i="24" s="1"/>
  <c r="L5" i="24"/>
  <c r="G5" i="24" s="1"/>
  <c r="L4" i="24"/>
  <c r="E4" i="24"/>
  <c r="D4" i="24"/>
  <c r="Q9" i="24"/>
  <c r="P9" i="24"/>
  <c r="O9" i="24"/>
  <c r="N9" i="24"/>
  <c r="K9" i="24"/>
  <c r="C133" i="18"/>
  <c r="G55" i="22"/>
  <c r="F55" i="22"/>
  <c r="E55" i="22"/>
  <c r="D55" i="22"/>
  <c r="C55" i="22"/>
  <c r="G53" i="22"/>
  <c r="F53" i="22"/>
  <c r="E53" i="22"/>
  <c r="D53" i="22"/>
  <c r="C53" i="22"/>
  <c r="G56" i="22"/>
  <c r="F56" i="22"/>
  <c r="E56" i="22"/>
  <c r="D56" i="22"/>
  <c r="C56" i="22"/>
  <c r="G52" i="22"/>
  <c r="F52" i="22"/>
  <c r="E52" i="22"/>
  <c r="D52" i="22"/>
  <c r="C52" i="22"/>
  <c r="G49" i="22"/>
  <c r="G51" i="22" s="1"/>
  <c r="F49" i="22"/>
  <c r="F51" i="22" s="1"/>
  <c r="E49" i="22"/>
  <c r="E51" i="22" s="1"/>
  <c r="D49" i="22"/>
  <c r="D51" i="22" s="1"/>
  <c r="C49" i="22"/>
  <c r="C51" i="22" s="1"/>
  <c r="G48" i="22"/>
  <c r="F48" i="22"/>
  <c r="E48" i="22"/>
  <c r="D48" i="22"/>
  <c r="C48" i="22"/>
  <c r="C136" i="18"/>
  <c r="C129" i="18"/>
  <c r="C134" i="18"/>
  <c r="C161" i="18"/>
  <c r="D161" i="18"/>
  <c r="E161" i="18"/>
  <c r="F161" i="18"/>
  <c r="C162" i="18"/>
  <c r="D162" i="18"/>
  <c r="E162" i="18"/>
  <c r="F162" i="18"/>
  <c r="C163" i="18"/>
  <c r="D163" i="18"/>
  <c r="E163" i="18"/>
  <c r="F163" i="18"/>
  <c r="G162" i="18"/>
  <c r="G161" i="18"/>
  <c r="L29" i="22"/>
  <c r="K29" i="22"/>
  <c r="J29" i="22"/>
  <c r="I29" i="22"/>
  <c r="H29" i="22"/>
  <c r="G29" i="22"/>
  <c r="F29" i="22"/>
  <c r="E29" i="22"/>
  <c r="D29" i="22"/>
  <c r="C29" i="22"/>
  <c r="C15" i="18" a="1"/>
  <c r="C15" i="18" s="1"/>
  <c r="G45" i="13"/>
  <c r="F45" i="13"/>
  <c r="E45" i="13"/>
  <c r="D45" i="13"/>
  <c r="C9" i="18"/>
  <c r="F15" i="22"/>
  <c r="E15" i="22"/>
  <c r="D15" i="22"/>
  <c r="C15" i="22"/>
  <c r="F16" i="22"/>
  <c r="E16" i="22"/>
  <c r="D16" i="22"/>
  <c r="C16" i="22"/>
  <c r="B16" i="22"/>
  <c r="B15" i="22"/>
  <c r="J22" i="22" a="1"/>
  <c r="J22" i="22" s="1"/>
  <c r="J21" i="22" a="1"/>
  <c r="J21" i="22" s="1"/>
  <c r="C7" i="18"/>
  <c r="C8" i="18"/>
  <c r="F7" i="24" l="1"/>
  <c r="L9" i="24"/>
  <c r="M9" i="24" s="1"/>
  <c r="F4" i="24"/>
  <c r="G4" i="24"/>
  <c r="F5" i="24"/>
  <c r="F6" i="24"/>
  <c r="F8" i="24"/>
  <c r="C50" i="22"/>
  <c r="D50" i="22"/>
  <c r="E50" i="22"/>
  <c r="F50" i="22"/>
  <c r="G50" i="22"/>
  <c r="H23" i="3"/>
  <c r="I23" i="3" s="1"/>
  <c r="J23" i="3" s="1"/>
  <c r="K23" i="3" s="1"/>
  <c r="L23" i="3" s="1"/>
  <c r="C53" i="20"/>
  <c r="C42" i="20"/>
  <c r="C41" i="20" s="1"/>
  <c r="C24" i="20" a="1"/>
  <c r="C24" i="20" s="1"/>
  <c r="E35" i="20" s="1"/>
  <c r="G43" i="13"/>
  <c r="F43" i="13"/>
  <c r="E43" i="13"/>
  <c r="D43" i="13"/>
  <c r="G9" i="20"/>
  <c r="F9" i="20"/>
  <c r="E9" i="20"/>
  <c r="D9" i="20"/>
  <c r="C9" i="20"/>
  <c r="H22" i="15"/>
  <c r="H25" i="15" s="1"/>
  <c r="G22" i="13"/>
  <c r="F22" i="13"/>
  <c r="E22" i="13"/>
  <c r="D22" i="13"/>
  <c r="C22" i="13"/>
  <c r="C8" i="20"/>
  <c r="C17" i="20"/>
  <c r="C5" i="21"/>
  <c r="C8" i="21" s="1"/>
  <c r="C4" i="21"/>
  <c r="C14" i="21"/>
  <c r="C13" i="21"/>
  <c r="D11" i="13"/>
  <c r="E11" i="13"/>
  <c r="F11" i="13"/>
  <c r="G11" i="13"/>
  <c r="G8" i="20"/>
  <c r="F8" i="20"/>
  <c r="E8" i="20"/>
  <c r="D8" i="20"/>
  <c r="G5" i="20"/>
  <c r="F5" i="20"/>
  <c r="E5" i="20"/>
  <c r="D5" i="20"/>
  <c r="C5" i="20"/>
  <c r="G36" i="15"/>
  <c r="F36" i="15"/>
  <c r="E36" i="15"/>
  <c r="D36" i="15"/>
  <c r="C36" i="15"/>
  <c r="H39" i="15"/>
  <c r="D48" i="3"/>
  <c r="E48" i="3"/>
  <c r="F48" i="3"/>
  <c r="G48" i="3"/>
  <c r="C48" i="3"/>
  <c r="D47" i="3"/>
  <c r="E47" i="3"/>
  <c r="F47" i="3"/>
  <c r="G47" i="3"/>
  <c r="C47" i="3"/>
  <c r="D33" i="13"/>
  <c r="E33" i="13"/>
  <c r="F33" i="13"/>
  <c r="G33" i="13"/>
  <c r="C33" i="13"/>
  <c r="G38" i="13"/>
  <c r="F38" i="13"/>
  <c r="E38" i="13"/>
  <c r="D38" i="13"/>
  <c r="C38" i="13"/>
  <c r="G15" i="16"/>
  <c r="F15" i="16"/>
  <c r="E15" i="16"/>
  <c r="D15" i="16"/>
  <c r="C15" i="16"/>
  <c r="D17" i="16"/>
  <c r="E17" i="16"/>
  <c r="F17" i="16"/>
  <c r="G17" i="16"/>
  <c r="C17" i="16"/>
  <c r="D9" i="13"/>
  <c r="E9" i="13"/>
  <c r="F9" i="13"/>
  <c r="G9" i="13"/>
  <c r="C9" i="13"/>
  <c r="F5" i="16"/>
  <c r="F6" i="16" s="1"/>
  <c r="D4" i="16"/>
  <c r="C11" i="16" s="1"/>
  <c r="E4" i="16"/>
  <c r="D11" i="16" s="1"/>
  <c r="F4" i="16"/>
  <c r="E11" i="16" s="1"/>
  <c r="G4" i="16"/>
  <c r="F11" i="16" s="1"/>
  <c r="C4" i="16"/>
  <c r="D7" i="16"/>
  <c r="E7" i="16"/>
  <c r="F7" i="16"/>
  <c r="G7" i="16"/>
  <c r="C7" i="16"/>
  <c r="D5" i="16"/>
  <c r="D6" i="16" s="1"/>
  <c r="E5" i="16"/>
  <c r="E6" i="16" s="1"/>
  <c r="G5" i="16"/>
  <c r="G6" i="16" s="1"/>
  <c r="C5" i="16"/>
  <c r="C6" i="16" s="1"/>
  <c r="D17" i="13"/>
  <c r="E17" i="13"/>
  <c r="F17" i="13"/>
  <c r="G17" i="13"/>
  <c r="C17" i="13"/>
  <c r="D15" i="13"/>
  <c r="E15" i="13"/>
  <c r="F15" i="13"/>
  <c r="G15" i="13"/>
  <c r="C15" i="13"/>
  <c r="D13" i="13"/>
  <c r="E13" i="13"/>
  <c r="F13" i="13"/>
  <c r="G13" i="13"/>
  <c r="C13" i="13"/>
  <c r="I11" i="13"/>
  <c r="J11" i="13"/>
  <c r="K11" i="13"/>
  <c r="L11" i="13"/>
  <c r="H11" i="13"/>
  <c r="H10" i="13" s="1"/>
  <c r="E6" i="13"/>
  <c r="F6" i="13"/>
  <c r="G6" i="13"/>
  <c r="D6" i="13"/>
  <c r="D34" i="3"/>
  <c r="E34" i="3"/>
  <c r="F34" i="3"/>
  <c r="G34" i="3"/>
  <c r="C34" i="3"/>
  <c r="C17" i="3"/>
  <c r="F9" i="24" l="1"/>
  <c r="F13" i="24" s="1"/>
  <c r="G9" i="24"/>
  <c r="G13" i="24" s="1"/>
  <c r="G12" i="24"/>
  <c r="G11" i="24"/>
  <c r="E9" i="24"/>
  <c r="E13" i="24" s="1"/>
  <c r="D9" i="24"/>
  <c r="D13" i="24" s="1"/>
  <c r="C135" i="18"/>
  <c r="C128" i="18"/>
  <c r="C132" i="18" s="1"/>
  <c r="B52" i="1"/>
  <c r="J36" i="15" s="1"/>
  <c r="D13" i="1"/>
  <c r="C33" i="20" s="1"/>
  <c r="C34" i="20" s="1"/>
  <c r="C35" i="20" s="1"/>
  <c r="G39" i="13"/>
  <c r="B40" i="1"/>
  <c r="K43" i="13" s="1"/>
  <c r="D39" i="13"/>
  <c r="E39" i="13"/>
  <c r="F39" i="13"/>
  <c r="C14" i="18"/>
  <c r="C12" i="18"/>
  <c r="C43" i="20"/>
  <c r="C44" i="20" s="1"/>
  <c r="L35" i="20"/>
  <c r="L31" i="20"/>
  <c r="L34" i="20"/>
  <c r="L32" i="20"/>
  <c r="L33" i="20"/>
  <c r="E49" i="13"/>
  <c r="F49" i="13"/>
  <c r="D49" i="13"/>
  <c r="E32" i="20"/>
  <c r="E34" i="20"/>
  <c r="E31" i="20"/>
  <c r="C54" i="20"/>
  <c r="C52" i="20"/>
  <c r="C40" i="20"/>
  <c r="H6" i="13"/>
  <c r="I6" i="13"/>
  <c r="J6" i="13"/>
  <c r="K6" i="13"/>
  <c r="D7" i="20"/>
  <c r="H47" i="3"/>
  <c r="F7" i="20"/>
  <c r="B42" i="1"/>
  <c r="E6" i="20" s="1"/>
  <c r="C15" i="21"/>
  <c r="C2" i="21" s="1"/>
  <c r="C29" i="1" s="1"/>
  <c r="G7" i="20"/>
  <c r="E7" i="20"/>
  <c r="D10" i="20"/>
  <c r="F10" i="20"/>
  <c r="E10" i="20"/>
  <c r="G10" i="20"/>
  <c r="C7" i="20"/>
  <c r="H48" i="3"/>
  <c r="B41" i="1"/>
  <c r="K22" i="13" s="1"/>
  <c r="B43" i="1"/>
  <c r="H13" i="13"/>
  <c r="B36" i="1"/>
  <c r="H15" i="13"/>
  <c r="H17" i="13"/>
  <c r="G8" i="16"/>
  <c r="E8" i="16"/>
  <c r="E9" i="16" s="1"/>
  <c r="E10" i="16" s="1"/>
  <c r="D8" i="16"/>
  <c r="D9" i="16" s="1"/>
  <c r="D10" i="16" s="1"/>
  <c r="J15" i="13"/>
  <c r="C18" i="13"/>
  <c r="L15" i="13"/>
  <c r="K15" i="13"/>
  <c r="I15" i="13"/>
  <c r="I13" i="13"/>
  <c r="L17" i="13"/>
  <c r="K17" i="13"/>
  <c r="J17" i="13"/>
  <c r="L13" i="13"/>
  <c r="K13" i="13"/>
  <c r="I17" i="13"/>
  <c r="J13" i="13"/>
  <c r="F8" i="16"/>
  <c r="F9" i="16" s="1"/>
  <c r="F10" i="16" s="1"/>
  <c r="C8" i="16"/>
  <c r="C9" i="16" s="1"/>
  <c r="C10" i="16" s="1"/>
  <c r="I10" i="13"/>
  <c r="J10" i="13" s="1"/>
  <c r="K10" i="13" s="1"/>
  <c r="L10" i="13" s="1"/>
  <c r="G18" i="13"/>
  <c r="F18" i="13"/>
  <c r="D18" i="13"/>
  <c r="E18" i="13"/>
  <c r="D15" i="1"/>
  <c r="D16" i="1"/>
  <c r="F12" i="24" l="1"/>
  <c r="F11" i="24"/>
  <c r="D12" i="24"/>
  <c r="D11" i="24"/>
  <c r="E11" i="24"/>
  <c r="E12" i="24"/>
  <c r="C131" i="18"/>
  <c r="I36" i="15"/>
  <c r="K36" i="15"/>
  <c r="L36" i="15"/>
  <c r="H36" i="15"/>
  <c r="C32" i="20"/>
  <c r="C31" i="20" s="1"/>
  <c r="D17" i="1"/>
  <c r="L6" i="13" s="1"/>
  <c r="H43" i="13"/>
  <c r="H42" i="13" s="1"/>
  <c r="I43" i="13"/>
  <c r="L43" i="13"/>
  <c r="J43" i="13"/>
  <c r="C13" i="18"/>
  <c r="G49" i="13"/>
  <c r="E12" i="20"/>
  <c r="C16" i="20"/>
  <c r="G48" i="20"/>
  <c r="G37" i="20"/>
  <c r="C51" i="20"/>
  <c r="C55" i="20"/>
  <c r="C45" i="20"/>
  <c r="C39" i="20"/>
  <c r="L33" i="13"/>
  <c r="D6" i="20"/>
  <c r="D12" i="20" s="1"/>
  <c r="J33" i="13"/>
  <c r="K33" i="13"/>
  <c r="C6" i="20"/>
  <c r="C12" i="20" s="1"/>
  <c r="I33" i="13"/>
  <c r="F6" i="20"/>
  <c r="F12" i="20" s="1"/>
  <c r="H33" i="13"/>
  <c r="G6" i="20"/>
  <c r="G12" i="20" s="1"/>
  <c r="G19" i="13"/>
  <c r="G163" i="18"/>
  <c r="C19" i="13"/>
  <c r="E19" i="13"/>
  <c r="F19" i="13"/>
  <c r="D19" i="13"/>
  <c r="J22" i="13"/>
  <c r="I22" i="13"/>
  <c r="H22" i="13"/>
  <c r="L22" i="13"/>
  <c r="J6" i="16"/>
  <c r="L6" i="16"/>
  <c r="K6" i="16"/>
  <c r="H6" i="16"/>
  <c r="I6" i="16"/>
  <c r="B45" i="1"/>
  <c r="H9" i="13"/>
  <c r="I9" i="13"/>
  <c r="L9" i="13"/>
  <c r="J9" i="13"/>
  <c r="K9" i="13"/>
  <c r="H5" i="13"/>
  <c r="H162" i="18" s="1"/>
  <c r="I42" i="13" l="1"/>
  <c r="J42" i="13" s="1"/>
  <c r="K42" i="13" s="1"/>
  <c r="L42" i="13" s="1"/>
  <c r="F37" i="20"/>
  <c r="E37" i="20" s="1"/>
  <c r="D37" i="20" s="1"/>
  <c r="H37" i="20"/>
  <c r="I37" i="20" s="1"/>
  <c r="J37" i="20" s="1"/>
  <c r="K37" i="20" s="1"/>
  <c r="L37" i="20" s="1"/>
  <c r="H48" i="20"/>
  <c r="I48" i="20" s="1"/>
  <c r="J48" i="20" s="1"/>
  <c r="K48" i="20" s="1"/>
  <c r="L48" i="20" s="1"/>
  <c r="F48" i="20"/>
  <c r="E48" i="20" s="1"/>
  <c r="D48" i="20" s="1"/>
  <c r="C56" i="20"/>
  <c r="C50" i="20"/>
  <c r="C38" i="20"/>
  <c r="C46" i="20"/>
  <c r="H21" i="13"/>
  <c r="H35" i="15"/>
  <c r="H22" i="3"/>
  <c r="H7" i="3"/>
  <c r="H8" i="13"/>
  <c r="H10" i="16"/>
  <c r="H9" i="16" s="1"/>
  <c r="I10" i="16"/>
  <c r="J10" i="16"/>
  <c r="G10" i="16"/>
  <c r="L10" i="16"/>
  <c r="K10" i="16"/>
  <c r="H16" i="13"/>
  <c r="H12" i="13"/>
  <c r="H14" i="13"/>
  <c r="I5" i="13"/>
  <c r="I35" i="15" l="1"/>
  <c r="I162" i="18"/>
  <c r="C49" i="20"/>
  <c r="C57" i="20"/>
  <c r="H9" i="20"/>
  <c r="I5" i="16"/>
  <c r="H7" i="20"/>
  <c r="H9" i="15"/>
  <c r="H8" i="20"/>
  <c r="H16" i="15"/>
  <c r="H28" i="3"/>
  <c r="H17" i="15"/>
  <c r="I7" i="3"/>
  <c r="I22" i="3"/>
  <c r="I8" i="13"/>
  <c r="I21" i="13"/>
  <c r="I9" i="16"/>
  <c r="H18" i="13"/>
  <c r="I14" i="13"/>
  <c r="I16" i="13"/>
  <c r="J5" i="13"/>
  <c r="J162" i="18" s="1"/>
  <c r="I12" i="13"/>
  <c r="I9" i="20" l="1"/>
  <c r="J35" i="15"/>
  <c r="J5" i="16"/>
  <c r="I9" i="15"/>
  <c r="I8" i="20"/>
  <c r="I16" i="15"/>
  <c r="I28" i="3"/>
  <c r="I17" i="15"/>
  <c r="J7" i="3"/>
  <c r="J22" i="3"/>
  <c r="J8" i="13"/>
  <c r="H19" i="13"/>
  <c r="H163" i="18"/>
  <c r="J21" i="13"/>
  <c r="H24" i="13"/>
  <c r="H161" i="18" s="1"/>
  <c r="J9" i="16"/>
  <c r="I18" i="13"/>
  <c r="I163" i="18" s="1"/>
  <c r="J14" i="13"/>
  <c r="J16" i="13"/>
  <c r="K5" i="13"/>
  <c r="J12" i="13"/>
  <c r="K162" i="18" l="1"/>
  <c r="J9" i="20"/>
  <c r="K35" i="15"/>
  <c r="K5" i="16"/>
  <c r="J9" i="15"/>
  <c r="J8" i="20"/>
  <c r="J16" i="15"/>
  <c r="J28" i="3"/>
  <c r="J17" i="15"/>
  <c r="K7" i="3"/>
  <c r="K22" i="3"/>
  <c r="K8" i="13"/>
  <c r="H25" i="13"/>
  <c r="I19" i="13"/>
  <c r="K21" i="13"/>
  <c r="I24" i="13"/>
  <c r="I161" i="18" s="1"/>
  <c r="K9" i="16"/>
  <c r="J18" i="13"/>
  <c r="J163" i="18" s="1"/>
  <c r="K14" i="13"/>
  <c r="K16" i="13"/>
  <c r="L5" i="13"/>
  <c r="K12" i="13"/>
  <c r="L162" i="18" l="1"/>
  <c r="G15" i="22"/>
  <c r="G16" i="22"/>
  <c r="K9" i="20"/>
  <c r="L35" i="15"/>
  <c r="L5" i="16"/>
  <c r="H38" i="13"/>
  <c r="H39" i="13" s="1"/>
  <c r="H5" i="20"/>
  <c r="H6" i="20" s="1"/>
  <c r="K9" i="15"/>
  <c r="K8" i="20"/>
  <c r="K28" i="3"/>
  <c r="K17" i="15"/>
  <c r="K16" i="15"/>
  <c r="L7" i="3"/>
  <c r="L22" i="3"/>
  <c r="L8" i="13"/>
  <c r="I25" i="13"/>
  <c r="J19" i="13"/>
  <c r="L21" i="13"/>
  <c r="J24" i="13"/>
  <c r="J161" i="18" s="1"/>
  <c r="L9" i="16"/>
  <c r="K18" i="13"/>
  <c r="K163" i="18" s="1"/>
  <c r="L14" i="13"/>
  <c r="L16" i="13"/>
  <c r="L12" i="13"/>
  <c r="H16" i="22" l="1"/>
  <c r="H15" i="22"/>
  <c r="L9" i="20"/>
  <c r="I38" i="13"/>
  <c r="I39" i="13" s="1"/>
  <c r="I5" i="20"/>
  <c r="I6" i="20" s="1"/>
  <c r="L9" i="15"/>
  <c r="L8" i="20"/>
  <c r="L16" i="15"/>
  <c r="L28" i="3"/>
  <c r="L17" i="15"/>
  <c r="J25" i="13"/>
  <c r="K19" i="13"/>
  <c r="K24" i="13"/>
  <c r="K161" i="18" s="1"/>
  <c r="L18" i="13"/>
  <c r="L163" i="18" s="1"/>
  <c r="I15" i="22" l="1"/>
  <c r="I16" i="22"/>
  <c r="J38" i="13"/>
  <c r="J39" i="13" s="1"/>
  <c r="J5" i="20"/>
  <c r="J6" i="20" s="1"/>
  <c r="K25" i="13"/>
  <c r="L19" i="13"/>
  <c r="L24" i="13"/>
  <c r="L161" i="18" s="1"/>
  <c r="J15" i="22" l="1"/>
  <c r="J16" i="22"/>
  <c r="K38" i="13"/>
  <c r="K39" i="13" s="1"/>
  <c r="K5" i="20"/>
  <c r="K6" i="20" s="1"/>
  <c r="L25" i="13"/>
  <c r="K15" i="22" l="1"/>
  <c r="K16" i="22"/>
  <c r="L38" i="13"/>
  <c r="L39" i="13" s="1"/>
  <c r="L5" i="20"/>
  <c r="L6" i="20" s="1"/>
  <c r="G9" i="16" l="1"/>
  <c r="G11" i="16" s="1"/>
  <c r="H4" i="16" s="1"/>
  <c r="H8" i="16" s="1"/>
  <c r="H11" i="16" s="1"/>
  <c r="I4" i="16" l="1"/>
  <c r="I22" i="15" l="1"/>
  <c r="I25" i="15" s="1"/>
  <c r="I7" i="20"/>
  <c r="I8" i="16"/>
  <c r="I11" i="16" s="1"/>
  <c r="J4" i="16" l="1"/>
  <c r="C18" i="16" l="1"/>
  <c r="F16" i="16"/>
  <c r="F18" i="16"/>
  <c r="D18" i="16"/>
  <c r="D16" i="16"/>
  <c r="E16" i="16"/>
  <c r="E18" i="16"/>
  <c r="G18" i="16"/>
  <c r="G16" i="16"/>
  <c r="J22" i="15" l="1"/>
  <c r="J25" i="15" s="1"/>
  <c r="J7" i="20"/>
  <c r="J8" i="16"/>
  <c r="J11" i="16" s="1"/>
  <c r="B47" i="1"/>
  <c r="H18" i="16" s="1"/>
  <c r="I16" i="16"/>
  <c r="K16" i="16"/>
  <c r="J16" i="16"/>
  <c r="L16" i="16"/>
  <c r="H16" i="16"/>
  <c r="H15" i="16" s="1"/>
  <c r="I15" i="16" l="1"/>
  <c r="K4" i="16"/>
  <c r="J18" i="16"/>
  <c r="I18" i="16"/>
  <c r="I17" i="16" s="1"/>
  <c r="I28" i="13" s="1"/>
  <c r="I32" i="13" s="1"/>
  <c r="K18" i="16"/>
  <c r="H17" i="16"/>
  <c r="H28" i="13" s="1"/>
  <c r="H32" i="13" s="1"/>
  <c r="L18" i="16"/>
  <c r="J15" i="16"/>
  <c r="K15" i="16" s="1"/>
  <c r="L15" i="16" s="1"/>
  <c r="H34" i="13" l="1"/>
  <c r="H36" i="13" s="1"/>
  <c r="I34" i="13"/>
  <c r="I36" i="13" s="1"/>
  <c r="J17" i="16"/>
  <c r="J28" i="13" s="1"/>
  <c r="J32" i="13" s="1"/>
  <c r="K17" i="16"/>
  <c r="K28" i="13" s="1"/>
  <c r="K32" i="13" s="1"/>
  <c r="L17" i="16"/>
  <c r="L28" i="13" s="1"/>
  <c r="L32" i="13" s="1"/>
  <c r="I6" i="15" l="1"/>
  <c r="I19" i="15" s="1"/>
  <c r="I38" i="15" s="1"/>
  <c r="I44" i="13"/>
  <c r="H6" i="15"/>
  <c r="H19" i="15" s="1"/>
  <c r="H38" i="15" s="1"/>
  <c r="H40" i="15" s="1"/>
  <c r="H6" i="3" s="1"/>
  <c r="H55" i="22" s="1"/>
  <c r="H44" i="13"/>
  <c r="K22" i="15"/>
  <c r="K25" i="15" s="1"/>
  <c r="K7" i="20"/>
  <c r="K8" i="16"/>
  <c r="K11" i="16" s="1"/>
  <c r="K34" i="13"/>
  <c r="K36" i="13" s="1"/>
  <c r="L34" i="13"/>
  <c r="L36" i="13" s="1"/>
  <c r="J34" i="13"/>
  <c r="J36" i="13" s="1"/>
  <c r="H48" i="13" l="1"/>
  <c r="H45" i="13"/>
  <c r="I48" i="13"/>
  <c r="I45" i="13"/>
  <c r="H11" i="3"/>
  <c r="H56" i="22" s="1"/>
  <c r="I39" i="15"/>
  <c r="I40" i="15" s="1"/>
  <c r="I6" i="3" s="1"/>
  <c r="I55" i="22" s="1"/>
  <c r="K6" i="15"/>
  <c r="K19" i="15" s="1"/>
  <c r="K38" i="15" s="1"/>
  <c r="K44" i="13"/>
  <c r="L6" i="15"/>
  <c r="L19" i="15" s="1"/>
  <c r="L44" i="13"/>
  <c r="J6" i="15"/>
  <c r="J19" i="15" s="1"/>
  <c r="J38" i="15" s="1"/>
  <c r="J44" i="13"/>
  <c r="H10" i="20"/>
  <c r="H12" i="20" s="1"/>
  <c r="L4" i="16"/>
  <c r="I11" i="3" l="1"/>
  <c r="I56" i="22" s="1"/>
  <c r="L48" i="13"/>
  <c r="L45" i="13"/>
  <c r="K48" i="13"/>
  <c r="K45" i="13"/>
  <c r="J48" i="13"/>
  <c r="J45" i="13"/>
  <c r="I49" i="13"/>
  <c r="H49" i="13"/>
  <c r="H13" i="20"/>
  <c r="J39" i="15"/>
  <c r="J40" i="15" s="1"/>
  <c r="I10" i="20" l="1"/>
  <c r="I12" i="20" s="1"/>
  <c r="I13" i="20" s="1"/>
  <c r="J49" i="13"/>
  <c r="K49" i="13"/>
  <c r="L49" i="13"/>
  <c r="K39" i="15"/>
  <c r="K40" i="15" s="1"/>
  <c r="K6" i="3" s="1"/>
  <c r="K55" i="22" s="1"/>
  <c r="J6" i="3"/>
  <c r="J55" i="22" s="1"/>
  <c r="L22" i="15"/>
  <c r="L7" i="20"/>
  <c r="L8" i="16"/>
  <c r="L11" i="16" s="1"/>
  <c r="K11" i="3" l="1"/>
  <c r="K56" i="22" s="1"/>
  <c r="J11" i="3"/>
  <c r="J56" i="22" s="1"/>
  <c r="L39" i="15"/>
  <c r="L25" i="15"/>
  <c r="L38" i="15" s="1"/>
  <c r="J10" i="20" l="1"/>
  <c r="J12" i="20" s="1"/>
  <c r="J13" i="20" s="1"/>
  <c r="K10" i="20"/>
  <c r="K12" i="20" s="1"/>
  <c r="K13" i="20" s="1"/>
  <c r="L40" i="15"/>
  <c r="L6" i="3" s="1"/>
  <c r="L55" i="22" s="1"/>
  <c r="L11" i="3" l="1"/>
  <c r="L56" i="22" s="1"/>
  <c r="L10" i="20" l="1"/>
  <c r="L12" i="20" s="1"/>
  <c r="K41" i="20" l="1"/>
  <c r="J38" i="20"/>
  <c r="I46" i="20"/>
  <c r="F38" i="20"/>
  <c r="J49" i="20"/>
  <c r="F40" i="20"/>
  <c r="E55" i="20"/>
  <c r="L45" i="20"/>
  <c r="D53" i="20"/>
  <c r="F54" i="20"/>
  <c r="L54" i="20"/>
  <c r="D51" i="20"/>
  <c r="I45" i="20"/>
  <c r="L13" i="20"/>
  <c r="F52" i="20"/>
  <c r="F45" i="20"/>
  <c r="E43" i="20"/>
  <c r="E57" i="20"/>
  <c r="J40" i="20"/>
  <c r="D40" i="20"/>
  <c r="H50" i="20"/>
  <c r="E49" i="20"/>
  <c r="J54" i="20"/>
  <c r="K38" i="20"/>
  <c r="G43" i="20"/>
  <c r="I56" i="20"/>
  <c r="G52" i="20"/>
  <c r="I53" i="20"/>
  <c r="J57" i="20"/>
  <c r="H42" i="20"/>
  <c r="K49" i="20"/>
  <c r="I38" i="20"/>
  <c r="J52" i="20"/>
  <c r="E51" i="20"/>
  <c r="E52" i="20"/>
  <c r="J41" i="20"/>
  <c r="K39" i="20"/>
  <c r="J43" i="20"/>
  <c r="H41" i="20"/>
  <c r="E39" i="20"/>
  <c r="J51" i="20"/>
  <c r="G44" i="20"/>
  <c r="J44" i="20"/>
  <c r="K53" i="20"/>
  <c r="G53" i="20"/>
  <c r="L44" i="20"/>
  <c r="K55" i="20"/>
  <c r="I43" i="20"/>
  <c r="L46" i="20"/>
  <c r="F39" i="20"/>
  <c r="E42" i="20"/>
  <c r="E45" i="20"/>
  <c r="I39" i="20"/>
  <c r="H53" i="20"/>
  <c r="D43" i="20"/>
  <c r="G54" i="20"/>
  <c r="G49" i="20"/>
  <c r="K42" i="20"/>
  <c r="K57" i="20"/>
  <c r="G51" i="20"/>
  <c r="G46" i="20"/>
  <c r="I54" i="20"/>
  <c r="F43" i="20"/>
  <c r="G42" i="20"/>
  <c r="L57" i="20"/>
  <c r="L40" i="20"/>
  <c r="F44" i="20"/>
  <c r="J42" i="20"/>
  <c r="D41" i="20"/>
  <c r="D44" i="20"/>
  <c r="L41" i="20"/>
  <c r="E46" i="20"/>
  <c r="H55" i="20"/>
  <c r="F49" i="20"/>
  <c r="I52" i="20"/>
  <c r="G40" i="20"/>
  <c r="D50" i="20"/>
  <c r="K54" i="20"/>
  <c r="H54" i="20"/>
  <c r="J56" i="20"/>
  <c r="D55" i="20"/>
  <c r="F57" i="20"/>
  <c r="J46" i="20"/>
  <c r="F42" i="20"/>
  <c r="I55" i="20"/>
  <c r="D49" i="20"/>
  <c r="L55" i="20"/>
  <c r="F46" i="20"/>
  <c r="I42" i="20"/>
  <c r="K50" i="20"/>
  <c r="F55" i="20"/>
  <c r="H40" i="20"/>
  <c r="F56" i="20"/>
  <c r="L42" i="20"/>
  <c r="I57" i="20"/>
  <c r="D54" i="20"/>
  <c r="K51" i="20"/>
  <c r="I51" i="20"/>
  <c r="H57" i="20"/>
  <c r="J45" i="20"/>
  <c r="K40" i="20"/>
  <c r="J55" i="20"/>
  <c r="E40" i="20"/>
  <c r="F41" i="20"/>
  <c r="D56" i="20"/>
  <c r="L39" i="20"/>
  <c r="G56" i="20"/>
  <c r="I40" i="20"/>
  <c r="I49" i="20"/>
  <c r="L43" i="20"/>
  <c r="H43" i="20"/>
  <c r="E50" i="20"/>
  <c r="D39" i="20"/>
  <c r="I50" i="20"/>
  <c r="L51" i="20"/>
  <c r="G50" i="20"/>
  <c r="C18" i="20"/>
  <c r="L56" i="20"/>
  <c r="D38" i="20"/>
  <c r="F53" i="20"/>
  <c r="K45" i="20"/>
  <c r="J53" i="20"/>
  <c r="J39" i="20"/>
  <c r="K43" i="20"/>
  <c r="D42" i="20"/>
  <c r="H38" i="20"/>
  <c r="G39" i="20"/>
  <c r="E56" i="20"/>
  <c r="H52" i="20"/>
  <c r="H39" i="20"/>
  <c r="G41" i="20"/>
  <c r="L50" i="20"/>
  <c r="L53" i="20"/>
  <c r="G45" i="20"/>
  <c r="E38" i="20"/>
  <c r="K52" i="20"/>
  <c r="I44" i="20"/>
  <c r="L52" i="20"/>
  <c r="L38" i="20"/>
  <c r="L49" i="20"/>
  <c r="D45" i="20"/>
  <c r="E44" i="20"/>
  <c r="H45" i="20"/>
  <c r="E41" i="20"/>
  <c r="I41" i="20"/>
  <c r="H56" i="20"/>
  <c r="E54" i="20"/>
  <c r="K44" i="20"/>
  <c r="J50" i="20"/>
  <c r="K56" i="20"/>
  <c r="G57" i="20"/>
  <c r="H44" i="20"/>
  <c r="D52" i="20"/>
  <c r="D46" i="20"/>
  <c r="F51" i="20"/>
  <c r="G38" i="20"/>
  <c r="H51" i="20"/>
  <c r="K46" i="20"/>
  <c r="E53" i="20"/>
  <c r="F50" i="20"/>
  <c r="D57" i="20"/>
  <c r="G55" i="20"/>
  <c r="H46" i="20"/>
  <c r="H49" i="20"/>
  <c r="C19" i="20" l="1"/>
  <c r="C21" i="20" l="1"/>
  <c r="C22" i="20" s="1"/>
  <c r="D14" i="18"/>
  <c r="D12" i="18"/>
  <c r="D15" i="18" l="1"/>
  <c r="C25" i="20"/>
  <c r="C4" i="18"/>
  <c r="D13" i="18"/>
  <c r="D33" i="20"/>
  <c r="E33" i="20" l="1"/>
  <c r="C5"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tc={0635B200-E6E8-456F-9FEF-7D6011915865}</author>
  </authors>
  <commentList>
    <comment ref="B7" authorId="0" shapeId="0" xr:uid="{0635B200-E6E8-456F-9FEF-7D6011915865}">
      <text>
        <t>[Threaded comment]
Your version of Excel allows you to read this threaded comment; however, any edits to it will get removed if the file is opened in a newer version of Excel. Learn more: https://go.microsoft.com/fwlink/?linkid=870924
Comment:
    Net Income / (Debt + Equity)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tc={585373AA-8664-47B1-B120-B8CEC9148E35}</author>
  </authors>
  <commentList>
    <comment ref="C8" authorId="0" shapeId="0" xr:uid="{585373AA-8664-47B1-B120-B8CEC9148E35}">
      <text>
        <t>[Threaded comment]
Your version of Excel allows you to read this threaded comment; however, any edits to it will get removed if the file is opened in a newer version of Excel. Learn more: https://go.microsoft.com/fwlink/?linkid=870924
Comment:
    US 10 Year Yield as of Oct 24, 2025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tc={E27FCF64-C6FB-48FB-9384-FA44FF3CB299}</author>
  </authors>
  <commentList>
    <comment ref="C24" authorId="0" shapeId="0" xr:uid="{E27FCF64-C6FB-48FB-9384-FA44FF3CB299}">
      <text>
        <t>[Threaded comment]
Your version of Excel allows you to read this threaded comment; however, any edits to it will get removed if the file is opened in a newer version of Excel. Learn more: https://go.microsoft.com/fwlink/?linkid=870924
Comment:
    291.98 as of Oct 26, 2025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tc={F73EC583-7F51-4D5C-BC93-0E321B498A4F}</author>
  </authors>
  <commentList>
    <comment ref="B6" authorId="0" shapeId="0" xr:uid="{F73EC583-7F51-4D5C-BC93-0E321B498A4F}">
      <text>
        <t>[Threaded comment]
Your version of Excel allows you to read this threaded comment; however, any edits to it will get removed if the file is opened in a newer version of Excel. Learn more: https://go.microsoft.com/fwlink/?linkid=870924
Comment:
    As the performance of the S&amp;P 500 is currently dominated by the Mag 7, it would be more accurate to use a different benchmark (here, the Dow Jones Transportation Average DJT)
Market return and beta is calculated using a script, see saia.py.</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<sst xmlns="http://schemas.openxmlformats.org/spreadsheetml/2006/main" count="444" uniqueCount="340">
  <si>
    <t>Cash and cash equivalents</t>
  </si>
  <si>
    <t>Accounts receivable, less allowances of $4,224 in 2024 and $4,427 in 2023</t>
  </si>
  <si>
    <t>Prepaid expenses</t>
  </si>
  <si>
    <t>Income tax receivable</t>
  </si>
  <si>
    <t>Other current assets</t>
  </si>
  <si>
    <t>Total current assets</t>
  </si>
  <si>
    <t>Property and Equipment, at cost</t>
  </si>
  <si>
    <t>Less-accumulated depreciation and amortization</t>
  </si>
  <si>
    <t>Net property and equipment</t>
  </si>
  <si>
    <t>Operating Lease Right-of-Use Assets</t>
  </si>
  <si>
    <t>Goodwill and Identifiable Intangibles, net</t>
  </si>
  <si>
    <t>Other Noncurrent Assets</t>
  </si>
  <si>
    <t>Total assets</t>
  </si>
  <si>
    <t>Accounts payable</t>
  </si>
  <si>
    <t>Wages, vacation and employees’ benefits</t>
  </si>
  <si>
    <t>Claims and insurance accruals</t>
  </si>
  <si>
    <t>Other current liabilities</t>
  </si>
  <si>
    <t>Current portion of long-term debt</t>
  </si>
  <si>
    <t>Current portion of operating lease liability</t>
  </si>
  <si>
    <t>Total current liabilities</t>
  </si>
  <si>
    <t>Long-term debt, less current portion</t>
  </si>
  <si>
    <t>Operating lease liability, less current portion</t>
  </si>
  <si>
    <t>Deferred income taxes</t>
  </si>
  <si>
    <t>Claims, insurance and other</t>
  </si>
  <si>
    <t>Preferred stock, $0.001 par value, 50,000 shares authorized, none issued and outstanding</t>
  </si>
  <si>
    <t>Common stock, $0.001 par value, 100,000,000 shares authorized, 26,549,512 and 26,4549,372 shares issued and outstanding at December 31, 2024 and 2023, respectively</t>
  </si>
  <si>
    <t>Additional paid-in-capital</t>
  </si>
  <si>
    <t>Deferred compensation trust, 70,100 and 69,672 shares of common stock at cost at December 31, 2024 and 2023, respectively</t>
  </si>
  <si>
    <t>Retained earnings</t>
  </si>
  <si>
    <t>Total stockholders’ equity</t>
  </si>
  <si>
    <t>Total liabilities and stockholders’ equity</t>
  </si>
  <si>
    <t>Current Assets</t>
  </si>
  <si>
    <t>Current Liabilities</t>
  </si>
  <si>
    <t>Operating Revenue</t>
  </si>
  <si>
    <t>Salaries, wages and employees’ benefits</t>
  </si>
  <si>
    <t>Purchased transportation</t>
  </si>
  <si>
    <t>Fuel, operating expenses and supplies</t>
  </si>
  <si>
    <t>Operating taxes and licenses</t>
  </si>
  <si>
    <t>Claims and insurance</t>
  </si>
  <si>
    <t>Depreciation and amortization</t>
  </si>
  <si>
    <t>Operating losses, net</t>
  </si>
  <si>
    <t>Total operating expenses</t>
  </si>
  <si>
    <t>Interest expense</t>
  </si>
  <si>
    <t>Interest income</t>
  </si>
  <si>
    <t>Other, net</t>
  </si>
  <si>
    <t>Non-operating (income) expenses, net</t>
  </si>
  <si>
    <t>Income Tax Expense</t>
  </si>
  <si>
    <t>Net Income</t>
  </si>
  <si>
    <t>Weighted average common shares outstanding – basic</t>
  </si>
  <si>
    <t>Weighted average common shares outstanding – diluted</t>
  </si>
  <si>
    <t>Basic Earnings Per Share</t>
  </si>
  <si>
    <t>Diluted Earnings Per Share</t>
  </si>
  <si>
    <t>FY (in $ thousands)</t>
  </si>
  <si>
    <t>COGS</t>
  </si>
  <si>
    <t>Total liabilities</t>
  </si>
  <si>
    <t>Non-operating (Income) Expenses</t>
  </si>
  <si>
    <t>Stockholders’ Equity</t>
  </si>
  <si>
    <t>Net income</t>
  </si>
  <si>
    <t>Allowance for credit losses</t>
  </si>
  <si>
    <t>Loss from property disposals, net</t>
  </si>
  <si>
    <t>Stock-based compensation</t>
  </si>
  <si>
    <t>Accounts receivable</t>
  </si>
  <si>
    <t>Change in other assets and liabilities, net</t>
  </si>
  <si>
    <t>Net cash provided by operating activities</t>
  </si>
  <si>
    <t>Acquisition of property and equipment</t>
  </si>
  <si>
    <t>Proceeds from disposal of property and equipment</t>
  </si>
  <si>
    <t>Other</t>
  </si>
  <si>
    <t>Net cash used in investing activities</t>
  </si>
  <si>
    <t>Repayments of revolving credit facility</t>
  </si>
  <si>
    <t>Borrowings of revolving credit facility</t>
  </si>
  <si>
    <t>Borrowings on private shelf agreement</t>
  </si>
  <si>
    <t>Proceeds from stock option exercises</t>
  </si>
  <si>
    <t>Shares withheld for taxes</t>
  </si>
  <si>
    <t>Repayment of finance leases</t>
  </si>
  <si>
    <t>Other financing activity</t>
  </si>
  <si>
    <t>Net cash (used in) provided by financing activities</t>
  </si>
  <si>
    <t>Net Increase (Decrease) in Cash and Cash Equivalents</t>
  </si>
  <si>
    <t>Cash and cash equivalents, beginning of year</t>
  </si>
  <si>
    <t>Cash and cash equivalents, end of year</t>
  </si>
  <si>
    <t>Operating Activities</t>
  </si>
  <si>
    <t>Noncash items included in net income</t>
  </si>
  <si>
    <t>Changes in operating assets and liabilities</t>
  </si>
  <si>
    <t>Investing Activities</t>
  </si>
  <si>
    <t>Financing Activities</t>
  </si>
  <si>
    <t>Assumptions</t>
  </si>
  <si>
    <t>Base Case</t>
  </si>
  <si>
    <t>Scenario</t>
  </si>
  <si>
    <t>Notes</t>
  </si>
  <si>
    <t>Revenue Inputs</t>
  </si>
  <si>
    <t>CAGR</t>
  </si>
  <si>
    <t>Set at the US LTL industry CAGR</t>
  </si>
  <si>
    <t>ID</t>
  </si>
  <si>
    <t>Historical</t>
  </si>
  <si>
    <t>Based on historical average</t>
  </si>
  <si>
    <t>% Change</t>
  </si>
  <si>
    <t>Most Recent</t>
  </si>
  <si>
    <t>Most recent growth</t>
  </si>
  <si>
    <t>Item</t>
  </si>
  <si>
    <t>Income Statement</t>
  </si>
  <si>
    <t>Purchased transportation is difficult to forecast, negative growth will be forecasted as the company matures</t>
  </si>
  <si>
    <t>% Revenue</t>
  </si>
  <si>
    <t>The "Fuel, operating expenses and supplies", "Operating taxes and licenses", and "Claims and insurance" line items will be forecasted by historical average as a percentage of revenue</t>
  </si>
  <si>
    <t>Operating losses are negligible</t>
  </si>
  <si>
    <t>Year Ended ($ thousands)</t>
  </si>
  <si>
    <t>PP&amp;E Schedule</t>
  </si>
  <si>
    <t>Opening Balance</t>
  </si>
  <si>
    <t>Capital Expenditures</t>
  </si>
  <si>
    <t>Closing Balance before Depreciation</t>
  </si>
  <si>
    <t>Closing Balance</t>
  </si>
  <si>
    <t>(Disposals)</t>
  </si>
  <si>
    <t>D&amp;A</t>
  </si>
  <si>
    <t>Implied Depreciation</t>
  </si>
  <si>
    <t>Capital Expenditures (excluding the anomalous 2024 capex due to the Yellow Corp bankruptcy sale) forecasted as historical average of revenue</t>
  </si>
  <si>
    <t>D&amp;A (excluding anomalous 2023/24 figures) forecasted as historical average of 2020-2022 as percentage of revenue</t>
  </si>
  <si>
    <t>Disposals are negligible (&lt;0.1% of revenue over the last 3 years)</t>
  </si>
  <si>
    <t>Total Debt</t>
  </si>
  <si>
    <t>Total Equity</t>
  </si>
  <si>
    <t>Debt-to-Equity</t>
  </si>
  <si>
    <t>Capitalisation Ratio</t>
  </si>
  <si>
    <t>D&amp;A forecasted at historical average of percentage revenue</t>
  </si>
  <si>
    <t>Employee wages forecasted at historical average of percentage revenue</t>
  </si>
  <si>
    <t>Debt Schedule</t>
  </si>
  <si>
    <t>% Net PP&amp;E</t>
  </si>
  <si>
    <t>Net Change</t>
  </si>
  <si>
    <t>Interest Expense</t>
  </si>
  <si>
    <t>Interest Expense, net</t>
  </si>
  <si>
    <t>Interest Rate</t>
  </si>
  <si>
    <t>EBITDA</t>
  </si>
  <si>
    <t>EBIT</t>
  </si>
  <si>
    <t>Implied Tax Rate</t>
  </si>
  <si>
    <t>Income Before Income Taxes (EBT)</t>
  </si>
  <si>
    <t>Operating Income  (EBIT)</t>
  </si>
  <si>
    <t>Capital Structure</t>
  </si>
  <si>
    <t>Year</t>
  </si>
  <si>
    <t>Safety Margin</t>
  </si>
  <si>
    <t>FCFF</t>
  </si>
  <si>
    <t>(CapEx)</t>
  </si>
  <si>
    <t>Days Sales Outstanding</t>
  </si>
  <si>
    <t>Days Payable Outstanding</t>
  </si>
  <si>
    <t>Average</t>
  </si>
  <si>
    <t>Inflation</t>
  </si>
  <si>
    <t>Inflation expected to be higher throughout the Trump term and as the Fed begins to prioritise the unemployment mandate</t>
  </si>
  <si>
    <t>Blue Sky</t>
  </si>
  <si>
    <t>GENIUS Act and rate cuts prove more favourable than expected</t>
  </si>
  <si>
    <t>Revenue</t>
  </si>
  <si>
    <t>Balance Sheet</t>
  </si>
  <si>
    <t>Wages and benefits payable expected to remain in line with inflation</t>
  </si>
  <si>
    <t>Given a fairly constant balance sheet, most current asset and current liability line items are treated as constant</t>
  </si>
  <si>
    <t>Switchboard</t>
  </si>
  <si>
    <t>CapEx for this year is overriden to 625m from the guidance provided in the Q2 earnings call</t>
  </si>
  <si>
    <t>Due to time constraints and limited information available on the cost of financing for Saia, Inc. (including no mentions in recent earnings calls), the debt schedule models interest assuming the composition of debt remains constant</t>
  </si>
  <si>
    <t>Cash Flow Statement</t>
  </si>
  <si>
    <t>There is a noticeable discrepancy between the changes in AR/AP in the cash flow statement and the balance sheet. This is ignored in the cash flow projections and will be dismissed as result of acquisitions/divestitures, forex flucuations from investments, and bad-debt write-offs.</t>
  </si>
  <si>
    <t>% 2x Current Liabilities</t>
  </si>
  <si>
    <t>From an absence of a comprehensive debt schedule in the 10K and 10Q, financing activities will be modelled as a historical average of financial cash flow to 2x current liabilities, as Saia has historically maintained a constant 1:2 ratio.</t>
  </si>
  <si>
    <t>Net Working Capital</t>
  </si>
  <si>
    <t>Change</t>
  </si>
  <si>
    <t>Long-Run</t>
  </si>
  <si>
    <t>Tax Rate</t>
  </si>
  <si>
    <t>Tax rate forecasted at historical average, aligns with federal tax rate but fails to account for the complexity of changing state-level and per-truck taxes</t>
  </si>
  <si>
    <t>-</t>
  </si>
  <si>
    <t>TGR</t>
  </si>
  <si>
    <t>WACC</t>
  </si>
  <si>
    <t>Source/Notes</t>
  </si>
  <si>
    <t>Derived from model</t>
  </si>
  <si>
    <t>valueinvesting.io as of Oct 2025</t>
  </si>
  <si>
    <t>AlphaSpread.com as of Oct 2025</t>
  </si>
  <si>
    <t>gurufocus.com as of Oct 2025</t>
  </si>
  <si>
    <t>Equity</t>
  </si>
  <si>
    <t>Cost of debt</t>
  </si>
  <si>
    <t>Risk Free Rate</t>
  </si>
  <si>
    <t>Market Return</t>
  </si>
  <si>
    <t>Beta</t>
  </si>
  <si>
    <t>Cost of equity</t>
  </si>
  <si>
    <t>Preferred Equity</t>
  </si>
  <si>
    <t>Cost of preferred equity</t>
  </si>
  <si>
    <t>Terminal Value</t>
  </si>
  <si>
    <t>Terminal Growth Rate</t>
  </si>
  <si>
    <t>Enterprise Value</t>
  </si>
  <si>
    <t>PV(FCFF)</t>
  </si>
  <si>
    <t>Equity Value</t>
  </si>
  <si>
    <t>Price Target</t>
  </si>
  <si>
    <t>NOPAT</t>
  </si>
  <si>
    <t>% PP&amp;E</t>
  </si>
  <si>
    <t>% Growth</t>
  </si>
  <si>
    <t>As weighted average shares have been historically very stable, they are projected to grow at a low historical rate</t>
  </si>
  <si>
    <t>Saia has historically maintained very low cash levels, primarily utilising it to expand their PP&amp;E. Given this, the model assumes future cash will be efficiently used in debt paydowns, and, once the company matures, go towards buybacks and special dividends for capital structure optimisation. A ceiling will be imposed on cash to reflect this</t>
  </si>
  <si>
    <t>Last 3 years (Geometric Average)</t>
  </si>
  <si>
    <t>Declining growth every year</t>
  </si>
  <si>
    <t>Saturated Market</t>
  </si>
  <si>
    <t>Inflation (Wage/Benefits Projections)</t>
  </si>
  <si>
    <t>Sensitivity Analysis</t>
  </si>
  <si>
    <t>Upside (%)</t>
  </si>
  <si>
    <t>WACC/TGR</t>
  </si>
  <si>
    <t>TGR/WACC</t>
  </si>
  <si>
    <t>Stock Price</t>
  </si>
  <si>
    <t>Target Return</t>
  </si>
  <si>
    <t>Growth</t>
  </si>
  <si>
    <t>Price</t>
  </si>
  <si>
    <t>Upside</t>
  </si>
  <si>
    <t>Revenue Growth</t>
  </si>
  <si>
    <t>Return</t>
  </si>
  <si>
    <t>Implied Upside</t>
  </si>
  <si>
    <t>Target Price</t>
  </si>
  <si>
    <t>Breakeven Analysis</t>
  </si>
  <si>
    <t>Forward P/E</t>
  </si>
  <si>
    <t>Trailing P/E</t>
  </si>
  <si>
    <t>Bull</t>
  </si>
  <si>
    <t>Bear</t>
  </si>
  <si>
    <t>Base</t>
  </si>
  <si>
    <t>Switchboard Inputs</t>
  </si>
  <si>
    <t>Sticky/Persistent</t>
  </si>
  <si>
    <t>Given US political factors, likely a conservative view</t>
  </si>
  <si>
    <t>Worst</t>
  </si>
  <si>
    <t>Best</t>
  </si>
  <si>
    <t>Min</t>
  </si>
  <si>
    <t>Max</t>
  </si>
  <si>
    <t>Revenue +/- 5%</t>
  </si>
  <si>
    <t>Scenario Analysis</t>
  </si>
  <si>
    <t>Factor</t>
  </si>
  <si>
    <t>Display Order</t>
  </si>
  <si>
    <t>ROIC</t>
  </si>
  <si>
    <t>ROE</t>
  </si>
  <si>
    <t>Football Field</t>
  </si>
  <si>
    <t>L+SE</t>
  </si>
  <si>
    <t>SE</t>
  </si>
  <si>
    <t>potential todo: add lines for industry benchmark roic/roe</t>
  </si>
  <si>
    <t>Operating Ratio</t>
  </si>
  <si>
    <t>DCF Model &amp; Key Ratios</t>
  </si>
  <si>
    <t>EV/EBITDA</t>
  </si>
  <si>
    <t>P/E</t>
  </si>
  <si>
    <t>EV/Sales</t>
  </si>
  <si>
    <t>Actual</t>
  </si>
  <si>
    <t>PEG</t>
  </si>
  <si>
    <t>Implied</t>
  </si>
  <si>
    <t>Financial Forecasts</t>
  </si>
  <si>
    <t>Operating taxes &amp; licenses, claims, and insurance</t>
  </si>
  <si>
    <t>PEG Ratio</t>
  </si>
  <si>
    <t>connect pe ratios:</t>
  </si>
  <si>
    <t>zero line</t>
  </si>
  <si>
    <t>Breakeven ($bn)</t>
  </si>
  <si>
    <t>Revenue ($bn)</t>
  </si>
  <si>
    <t>debt equity</t>
  </si>
  <si>
    <t>interest bearing only</t>
  </si>
  <si>
    <t>Cash Ratio</t>
  </si>
  <si>
    <t>Current Ratio</t>
  </si>
  <si>
    <t>Debt Ratio (D/A)</t>
  </si>
  <si>
    <t>Long-term Debt to Capitalisation</t>
  </si>
  <si>
    <t>Market Data (Oct 2025)</t>
  </si>
  <si>
    <t>Sales</t>
  </si>
  <si>
    <t>Multiples</t>
  </si>
  <si>
    <t>P/S</t>
  </si>
  <si>
    <t>Company</t>
  </si>
  <si>
    <t>Ticker</t>
  </si>
  <si>
    <t>ODFL</t>
  </si>
  <si>
    <t>Old Dominion Freight Line</t>
  </si>
  <si>
    <t>XPO</t>
  </si>
  <si>
    <t>XPO, Inc.</t>
  </si>
  <si>
    <t>ArcBest Corporation</t>
  </si>
  <si>
    <t>ARCB</t>
  </si>
  <si>
    <t>TFI International Inc.</t>
  </si>
  <si>
    <t>TFII</t>
  </si>
  <si>
    <t>Saia, Inc.</t>
  </si>
  <si>
    <t>SAIA</t>
  </si>
  <si>
    <t>Shares (m)</t>
  </si>
  <si>
    <t>EV ($bn)</t>
  </si>
  <si>
    <t>Financial Data (YE 2024, $bn)</t>
  </si>
  <si>
    <t>Market Cap ($bn)</t>
  </si>
  <si>
    <t>Median</t>
  </si>
  <si>
    <t>Knight-Swift Transportation</t>
  </si>
  <si>
    <t>KNX</t>
  </si>
  <si>
    <t>Saia Rank</t>
  </si>
  <si>
    <t>Cumulative Return</t>
  </si>
  <si>
    <t>CAGR%</t>
  </si>
  <si>
    <t>Sharpe</t>
  </si>
  <si>
    <t>Prob. Sharpe Ratio</t>
  </si>
  <si>
    <t>Smart Sharpe</t>
  </si>
  <si>
    <t>Sortino</t>
  </si>
  <si>
    <t>Smart Sortino</t>
  </si>
  <si>
    <t>Sortino/√2</t>
  </si>
  <si>
    <t>Smart Sortino/√2</t>
  </si>
  <si>
    <t>Omega</t>
  </si>
  <si>
    <t>Max Drawdown</t>
  </si>
  <si>
    <t>Longest DD Days</t>
  </si>
  <si>
    <t>Volatility (ann.)</t>
  </si>
  <si>
    <t>R^2</t>
  </si>
  <si>
    <t>Information Ratio</t>
  </si>
  <si>
    <t>Calmar</t>
  </si>
  <si>
    <t>Skew</t>
  </si>
  <si>
    <t>Kurtosis</t>
  </si>
  <si>
    <t>Expected Daily %</t>
  </si>
  <si>
    <t>Expected Monthly %</t>
  </si>
  <si>
    <t>Expected Yearly %</t>
  </si>
  <si>
    <t>Kelly Criterion</t>
  </si>
  <si>
    <t>Risk of Ruin</t>
  </si>
  <si>
    <t>Daily Value-at-Risk</t>
  </si>
  <si>
    <t>Expected Shortfall (cVaR)</t>
  </si>
  <si>
    <t>Max Consecutive Wins</t>
  </si>
  <si>
    <t>Max Consecutive Losses</t>
  </si>
  <si>
    <t>Gain/Pain Ratio</t>
  </si>
  <si>
    <t>Gain/Pain (1M)</t>
  </si>
  <si>
    <t>Payoff Ratio</t>
  </si>
  <si>
    <t>Profit Factor</t>
  </si>
  <si>
    <t>Common Sense Ratio</t>
  </si>
  <si>
    <t>CPC Index</t>
  </si>
  <si>
    <t>Tail Ratio</t>
  </si>
  <si>
    <t>Outlier Win Ratio</t>
  </si>
  <si>
    <t>Outlier Loss Ratio</t>
  </si>
  <si>
    <t>MTD</t>
  </si>
  <si>
    <t>3M</t>
  </si>
  <si>
    <t>6M</t>
  </si>
  <si>
    <t>YTD</t>
  </si>
  <si>
    <t>1Y</t>
  </si>
  <si>
    <t>3Y (ann.)</t>
  </si>
  <si>
    <t>Best Day</t>
  </si>
  <si>
    <t>Worst Day</t>
  </si>
  <si>
    <t>Best Month</t>
  </si>
  <si>
    <t>Worst Month</t>
  </si>
  <si>
    <t>Best Year</t>
  </si>
  <si>
    <t>Worst Year</t>
  </si>
  <si>
    <t>Avg. Drawdown</t>
  </si>
  <si>
    <t>Avg. Drawdown Days</t>
  </si>
  <si>
    <t>Recovery Factor</t>
  </si>
  <si>
    <t>Ulcer Index</t>
  </si>
  <si>
    <t>Serenity Index</t>
  </si>
  <si>
    <t>Avg. Up Month</t>
  </si>
  <si>
    <t>Avg. Down Month</t>
  </si>
  <si>
    <t>Win Days %</t>
  </si>
  <si>
    <t>Win Month %</t>
  </si>
  <si>
    <t>Win Quarter %</t>
  </si>
  <si>
    <t>Win Year %</t>
  </si>
  <si>
    <t>Alpha</t>
  </si>
  <si>
    <t>Correlation</t>
  </si>
  <si>
    <t>Treynor Ratio</t>
  </si>
  <si>
    <t>SPX</t>
  </si>
  <si>
    <t>TTM</t>
  </si>
  <si>
    <t>Last 3 Years</t>
  </si>
  <si>
    <t>DJT</t>
  </si>
  <si>
    <t>Metric / Strategy</t>
  </si>
  <si>
    <t>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</si>
</sst>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000"/>
    <numFmt numFmtId="167" formatCode="0.00\x"/>
    <numFmt numFmtId="168" formatCode="#,##0.000"/>
  </numFmts>
  <fonts count="16" x14ac:knownFonts="1">
    <font>
      <sz val="10"/>
      <color rgb="FF000000"/>
      <name val="Arial"/>
      <scheme val="minor"/>
    </font>
    <font>
      <sz val="10"/>
      <color theme="1"/>
      <name val="Arial"/>
      <family val="2"/>
      <scheme val="minor"/>
    </font>
    <font>
      <sz val="10"/>
      <color rgb="FF000000"/>
      <name val="Arial"/>
      <family val="2"/>
      <scheme val="minor"/>
    </font>
    <font>
      <sz val="10"/>
      <color rgb="FF000000"/>
      <name val="Arial"/>
      <family val="2"/>
      <scheme val="minor"/>
    </font>
    <font>
      <u/>
      <sz val="10"/>
      <color theme="10"/>
      <name val="Arial"/>
      <family val="2"/>
      <scheme val="minor"/>
    </font>
    <font>
      <b/>
      <sz val="10"/>
      <color rgb="FF000000"/>
      <name val="Arial"/>
      <family val="2"/>
      <scheme val="minor"/>
    </font>
    <font>
      <sz val="10"/>
      <name val="Arial"/>
      <family val="2"/>
      <scheme val="minor"/>
    </font>
    <font>
      <b/>
      <sz val="10"/>
      <name val="Arial"/>
      <family val="2"/>
      <scheme val="minor"/>
    </font>
    <font>
      <i/>
      <sz val="10"/>
      <color rgb="FF000000"/>
      <name val="Arial"/>
      <family val="2"/>
      <scheme val="minor"/>
    </font>
    <font>
      <i/>
      <sz val="10"/>
      <color theme="3" tint="0.499984740745262"/>
      <name val="Arial"/>
      <family val="2"/>
      <scheme val="minor"/>
    </font>
    <font>
      <b/>
      <sz val="10"/>
      <color theme="0"/>
      <name val="Arial"/>
      <family val="2"/>
      <scheme val="minor"/>
    </font>
    <font>
      <b/>
      <i/>
      <sz val="10"/>
      <color rgb="FF000000"/>
      <name val="Arial"/>
      <family val="2"/>
      <scheme val="minor"/>
    </font>
    <font>
      <sz val="10"/>
      <color theme="3" tint="0.499984740745262"/>
      <name val="Arial"/>
      <family val="2"/>
      <scheme val="minor"/>
    </font>
    <font>
      <b/>
      <sz val="10"/>
      <color rgb="FF000000"/>
      <name val="Arial"/>
      <family val="2"/>
      <scheme val="minor"/>
    </font>
    <font>
      <b/>
      <sz val="16"/>
      <color rgb="FF000000"/>
      <name val="Arial"/>
      <family val="2"/>
      <scheme val="minor"/>
    </font>
    <font>
      <sz val="8"/>
      <color theme="0"/>
      <name val="Arial"/>
      <family val="2"/>
      <scheme val="minor"/>
    </font>
  </fonts>
  <fills count="18">
    <fill>
      <patternFill patternType="none"/>
    </fill>
    <fill>
      <patternFill patternType="gray125"/>
    </fill>
    <fill>
      <patternFill patternType="solid">
        <fgColor theme="0"/>
        <bgColor indexed="64"/>
      </patternFill>
    </fill>
    <fill>
      <patternFill patternType="solid">
        <fgColor theme="8" tint="0.39997558519241921"/>
        <bgColor indexed="64"/>
      </patternFill>
    </fill>
    <fill>
      <patternFill patternType="solid">
        <fgColor theme="2" tint="-0.499984740745262"/>
        <bgColor indexed="64"/>
      </patternFill>
    </fill>
    <fill>
      <patternFill patternType="solid">
        <fgColor theme="4" tint="-0.249977111117893"/>
        <bgColor indexed="64"/>
      </patternFill>
    </fill>
    <fill>
      <patternFill patternType="solid">
        <fgColor rgb="FFFF0000"/>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2" tint="-0.14999847407452621"/>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3" tint="0.249977111117893"/>
        <bgColor indexed="64"/>
      </patternFill>
    </fill>
  </fills>
  <borders count="14">
    <border>
      <left/>
      <right/>
      <top/>
      <bottom/>
      <diagonal/>
    </border>
    <border>
      <left/>
      <right/>
      <top style="thin">
        <color indexed="64"/>
      </top>
      <bottom style="double">
        <color indexed="64"/>
      </bottom>
      <diagonal/>
    </border>
    <border>
      <left/>
      <right/>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9" fontId="3" fillId="0" borderId="0" applyFont="0" applyFill="0" applyBorder="0" applyAlignment="0" applyProtection="0"/>
    <xf numFmtId="0" fontId="4" fillId="0" borderId="0" applyNumberFormat="0" applyFill="0" applyBorder="0" applyAlignment="0" applyProtection="0"/>
  </cellStyleXfs>
  <cellXfs count="202">
    <xf numFmtId="0" fontId="0" fillId="0" borderId="0" xfId="0"/>
    <xf numFmtId="0" fontId="2" fillId="0" borderId="0" xfId="0" applyFont="1"/>
    <xf numFmtId="3" fontId="0" fillId="0" borderId="0" xfId="0" applyNumberFormat="1"/>
    <xf numFmtId="2" fontId="0" fillId="0" borderId="0" xfId="0" applyNumberFormat="1"/>
    <xf numFmtId="1" fontId="0" fillId="0" borderId="0" xfId="0" applyNumberFormat="1"/>
    <xf numFmtId="0" fontId="5" fillId="0" borderId="0" xfId="0" applyFont="1"/>
    <xf numFmtId="0" fontId="0" fillId="0" borderId="1" xfId="0" applyBorder="1"/>
    <xf numFmtId="0" fontId="5" fillId="0" borderId="1" xfId="0" applyFont="1" applyBorder="1"/>
    <xf numFmtId="3" fontId="5" fillId="0" borderId="1" xfId="0" applyNumberFormat="1" applyFont="1" applyBorder="1"/>
    <xf numFmtId="0" fontId="0" fillId="0" borderId="2" xfId="0" applyBorder="1"/>
    <xf numFmtId="0" fontId="5" fillId="0" borderId="2" xfId="0" applyFont="1" applyBorder="1"/>
    <xf numFmtId="3" fontId="5" fillId="0" borderId="0" xfId="0" applyNumberFormat="1" applyFont="1"/>
    <xf numFmtId="0" fontId="2" fillId="2" borderId="0" xfId="0" applyFont="1" applyFill="1"/>
    <xf numFmtId="0" fontId="0" fillId="2" borderId="0" xfId="0" applyFill="1"/>
    <xf numFmtId="0" fontId="2" fillId="0" borderId="1" xfId="0" applyFont="1" applyBorder="1"/>
    <xf numFmtId="3" fontId="4" fillId="0" borderId="0" xfId="2" applyNumberFormat="1" applyAlignment="1">
      <alignment wrapText="1"/>
    </xf>
    <xf numFmtId="3" fontId="6" fillId="0" borderId="0" xfId="2" applyNumberFormat="1" applyFont="1" applyAlignment="1">
      <alignment wrapText="1"/>
    </xf>
    <xf numFmtId="3" fontId="6" fillId="0" borderId="0" xfId="0" applyNumberFormat="1" applyFont="1"/>
    <xf numFmtId="3" fontId="2" fillId="0" borderId="0" xfId="0" applyNumberFormat="1" applyFont="1" applyAlignment="1">
      <alignment wrapText="1"/>
    </xf>
    <xf numFmtId="1" fontId="0" fillId="2" borderId="0" xfId="0" applyNumberFormat="1" applyFill="1"/>
    <xf numFmtId="0" fontId="0" fillId="0" borderId="0" xfId="0" applyAlignment="1">
      <alignment horizontal="left"/>
    </xf>
    <xf numFmtId="10" fontId="0" fillId="0" borderId="0" xfId="0" applyNumberFormat="1" applyAlignment="1">
      <alignment horizontal="left"/>
    </xf>
    <xf numFmtId="0" fontId="8" fillId="0" borderId="0" xfId="0" applyFont="1" applyAlignment="1">
      <alignment horizontal="left"/>
    </xf>
    <xf numFmtId="0" fontId="2" fillId="0" borderId="0" xfId="0" applyFont="1" applyAlignment="1">
      <alignment horizontal="left"/>
    </xf>
    <xf numFmtId="0" fontId="8" fillId="0" borderId="0" xfId="0" applyFont="1"/>
    <xf numFmtId="0" fontId="9" fillId="0" borderId="0" xfId="0" applyFont="1"/>
    <xf numFmtId="10" fontId="9" fillId="0" borderId="0" xfId="1" applyNumberFormat="1" applyFont="1"/>
    <xf numFmtId="164" fontId="0" fillId="0" borderId="0" xfId="1" applyNumberFormat="1" applyFont="1" applyAlignment="1">
      <alignment horizontal="left"/>
    </xf>
    <xf numFmtId="10" fontId="0" fillId="0" borderId="0" xfId="1" applyNumberFormat="1" applyFont="1" applyAlignment="1">
      <alignment horizontal="left"/>
    </xf>
    <xf numFmtId="4" fontId="0" fillId="0" borderId="0" xfId="0" applyNumberFormat="1"/>
    <xf numFmtId="4" fontId="4" fillId="0" borderId="0" xfId="2" applyNumberFormat="1" applyAlignment="1">
      <alignment wrapText="1"/>
    </xf>
    <xf numFmtId="4" fontId="9" fillId="0" borderId="0" xfId="1" applyNumberFormat="1" applyFont="1"/>
    <xf numFmtId="3" fontId="9" fillId="0" borderId="0" xfId="1" applyNumberFormat="1" applyFont="1"/>
    <xf numFmtId="3" fontId="0" fillId="2" borderId="0" xfId="0" applyNumberFormat="1" applyFill="1"/>
    <xf numFmtId="3" fontId="5" fillId="0" borderId="1" xfId="0" applyNumberFormat="1" applyFont="1" applyBorder="1" applyAlignment="1">
      <alignment wrapText="1"/>
    </xf>
    <xf numFmtId="3" fontId="7" fillId="0" borderId="1" xfId="2" applyNumberFormat="1" applyFont="1" applyBorder="1" applyAlignment="1">
      <alignment wrapText="1"/>
    </xf>
    <xf numFmtId="3" fontId="5" fillId="0" borderId="0" xfId="0" applyNumberFormat="1" applyFont="1" applyAlignment="1">
      <alignment wrapText="1"/>
    </xf>
    <xf numFmtId="3" fontId="7" fillId="0" borderId="0" xfId="2" applyNumberFormat="1" applyFont="1" applyBorder="1" applyAlignment="1">
      <alignment wrapText="1"/>
    </xf>
    <xf numFmtId="3" fontId="7" fillId="0" borderId="1" xfId="0" applyNumberFormat="1" applyFont="1" applyBorder="1"/>
    <xf numFmtId="3" fontId="7" fillId="0" borderId="0" xfId="0" applyNumberFormat="1" applyFont="1"/>
    <xf numFmtId="4" fontId="2" fillId="2" borderId="0" xfId="0" applyNumberFormat="1" applyFont="1" applyFill="1"/>
    <xf numFmtId="4" fontId="0" fillId="2" borderId="0" xfId="0" applyNumberFormat="1" applyFill="1"/>
    <xf numFmtId="4" fontId="2" fillId="0" borderId="0" xfId="0" applyNumberFormat="1" applyFont="1" applyAlignment="1">
      <alignment wrapText="1"/>
    </xf>
    <xf numFmtId="4" fontId="9" fillId="0" borderId="0" xfId="0" applyNumberFormat="1" applyFont="1"/>
    <xf numFmtId="10" fontId="9" fillId="0" borderId="0" xfId="1" applyNumberFormat="1" applyFont="1" applyAlignment="1">
      <alignment wrapText="1"/>
    </xf>
    <xf numFmtId="10" fontId="9" fillId="0" borderId="0" xfId="1" applyNumberFormat="1" applyFont="1" applyBorder="1" applyAlignment="1"/>
    <xf numFmtId="4" fontId="0" fillId="0" borderId="1" xfId="0" applyNumberFormat="1" applyBorder="1"/>
    <xf numFmtId="3" fontId="0" fillId="0" borderId="1" xfId="0" applyNumberFormat="1" applyBorder="1"/>
    <xf numFmtId="4" fontId="5" fillId="0" borderId="1" xfId="0" applyNumberFormat="1" applyFont="1" applyBorder="1"/>
    <xf numFmtId="4" fontId="5" fillId="0" borderId="0" xfId="0" applyNumberFormat="1" applyFont="1"/>
    <xf numFmtId="3" fontId="0" fillId="0" borderId="2" xfId="0" applyNumberFormat="1" applyBorder="1"/>
    <xf numFmtId="3" fontId="5" fillId="0" borderId="2" xfId="0" applyNumberFormat="1" applyFont="1" applyBorder="1"/>
    <xf numFmtId="10" fontId="0" fillId="0" borderId="0" xfId="1" applyNumberFormat="1" applyFont="1"/>
    <xf numFmtId="0" fontId="5" fillId="0" borderId="0" xfId="0" applyFont="1" applyAlignment="1">
      <alignment horizontal="left"/>
    </xf>
    <xf numFmtId="0" fontId="10" fillId="4" borderId="0" xfId="0" applyFont="1" applyFill="1" applyAlignment="1">
      <alignment vertical="center"/>
    </xf>
    <xf numFmtId="0" fontId="10" fillId="5" borderId="0" xfId="0" applyFont="1" applyFill="1" applyAlignment="1">
      <alignment vertical="center"/>
    </xf>
    <xf numFmtId="1" fontId="10" fillId="5" borderId="0" xfId="0" applyNumberFormat="1" applyFont="1" applyFill="1" applyAlignment="1">
      <alignment vertical="center"/>
    </xf>
    <xf numFmtId="1" fontId="10" fillId="6" borderId="0" xfId="0" applyNumberFormat="1" applyFont="1" applyFill="1" applyAlignment="1">
      <alignment vertical="center"/>
    </xf>
    <xf numFmtId="0" fontId="2" fillId="0" borderId="0" xfId="0" applyFont="1" applyAlignment="1">
      <alignment vertical="center"/>
    </xf>
    <xf numFmtId="164" fontId="0" fillId="0" borderId="0" xfId="0" applyNumberFormat="1" applyAlignment="1">
      <alignment horizontal="left"/>
    </xf>
    <xf numFmtId="4" fontId="2" fillId="0" borderId="0" xfId="0" applyNumberFormat="1" applyFont="1"/>
    <xf numFmtId="10" fontId="2" fillId="0" borderId="0" xfId="1" applyNumberFormat="1" applyFont="1" applyAlignment="1">
      <alignment wrapText="1"/>
    </xf>
    <xf numFmtId="10" fontId="0" fillId="0" borderId="0" xfId="1" applyNumberFormat="1" applyFont="1" applyBorder="1" applyAlignment="1"/>
    <xf numFmtId="0" fontId="6" fillId="2" borderId="0" xfId="0" applyFont="1" applyFill="1"/>
    <xf numFmtId="10" fontId="6" fillId="2" borderId="0" xfId="1" applyNumberFormat="1" applyFont="1" applyFill="1"/>
    <xf numFmtId="0" fontId="7" fillId="2" borderId="0" xfId="0" applyFont="1" applyFill="1"/>
    <xf numFmtId="3" fontId="2" fillId="0" borderId="1" xfId="0" applyNumberFormat="1" applyFont="1" applyBorder="1"/>
    <xf numFmtId="0" fontId="0" fillId="0" borderId="0" xfId="0" applyAlignment="1">
      <alignment horizontal="center"/>
    </xf>
    <xf numFmtId="10" fontId="0" fillId="0" borderId="1" xfId="1" applyNumberFormat="1" applyFont="1" applyBorder="1"/>
    <xf numFmtId="3" fontId="2" fillId="0" borderId="0" xfId="0" applyNumberFormat="1" applyFont="1"/>
    <xf numFmtId="3" fontId="6" fillId="2" borderId="0" xfId="0" applyNumberFormat="1" applyFont="1" applyFill="1"/>
    <xf numFmtId="2" fontId="6" fillId="2" borderId="0" xfId="0" applyNumberFormat="1" applyFont="1" applyFill="1"/>
    <xf numFmtId="0" fontId="10" fillId="2" borderId="0" xfId="0" applyFont="1" applyFill="1" applyAlignment="1">
      <alignment vertical="center"/>
    </xf>
    <xf numFmtId="0" fontId="7" fillId="2" borderId="1" xfId="0" applyFont="1" applyFill="1" applyBorder="1"/>
    <xf numFmtId="3" fontId="10" fillId="2" borderId="0" xfId="0" applyNumberFormat="1" applyFont="1" applyFill="1" applyAlignment="1">
      <alignment vertical="center"/>
    </xf>
    <xf numFmtId="3" fontId="7" fillId="2" borderId="1" xfId="1" applyNumberFormat="1" applyFont="1" applyFill="1" applyBorder="1"/>
    <xf numFmtId="3" fontId="7" fillId="2" borderId="1" xfId="0" applyNumberFormat="1" applyFont="1" applyFill="1" applyBorder="1"/>
    <xf numFmtId="3" fontId="6" fillId="2" borderId="0" xfId="1" applyNumberFormat="1" applyFont="1" applyFill="1"/>
    <xf numFmtId="0" fontId="5" fillId="0" borderId="0" xfId="0" applyFont="1" applyAlignment="1">
      <alignment horizontal="center"/>
    </xf>
    <xf numFmtId="10" fontId="2" fillId="0" borderId="0" xfId="1" applyNumberFormat="1" applyFont="1" applyAlignment="1">
      <alignment horizontal="center"/>
    </xf>
    <xf numFmtId="9" fontId="0" fillId="0" borderId="0" xfId="0" applyNumberFormat="1" applyAlignment="1">
      <alignment horizontal="center"/>
    </xf>
    <xf numFmtId="10" fontId="0" fillId="0" borderId="0" xfId="0" applyNumberFormat="1" applyAlignment="1">
      <alignment horizontal="center"/>
    </xf>
    <xf numFmtId="10" fontId="0" fillId="0" borderId="0" xfId="1" applyNumberFormat="1" applyFont="1" applyAlignment="1">
      <alignment horizontal="center"/>
    </xf>
    <xf numFmtId="0" fontId="11" fillId="0" borderId="0" xfId="0" applyFont="1" applyAlignment="1">
      <alignment horizontal="left"/>
    </xf>
    <xf numFmtId="0" fontId="1"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5" xfId="0" applyFont="1" applyFill="1" applyBorder="1" applyAlignment="1">
      <alignment horizontal="center" vertical="center"/>
    </xf>
    <xf numFmtId="0" fontId="0" fillId="2" borderId="6" xfId="0" applyFill="1" applyBorder="1" applyAlignment="1">
      <alignment horizontal="center" vertical="center"/>
    </xf>
    <xf numFmtId="0" fontId="2" fillId="2" borderId="7" xfId="0" applyFont="1" applyFill="1" applyBorder="1" applyAlignment="1">
      <alignment horizontal="center" vertical="center"/>
    </xf>
    <xf numFmtId="10" fontId="2" fillId="0" borderId="0" xfId="0" applyNumberFormat="1" applyFont="1" applyAlignment="1">
      <alignment horizontal="center"/>
    </xf>
    <xf numFmtId="0" fontId="11" fillId="0" borderId="0" xfId="0" applyFont="1"/>
    <xf numFmtId="1" fontId="0" fillId="2" borderId="6" xfId="0" applyNumberFormat="1" applyFill="1" applyBorder="1" applyAlignment="1">
      <alignment horizontal="center" vertical="center"/>
    </xf>
    <xf numFmtId="3" fontId="5" fillId="0" borderId="0" xfId="0" applyNumberFormat="1" applyFont="1" applyAlignment="1">
      <alignment horizontal="right"/>
    </xf>
    <xf numFmtId="2" fontId="5" fillId="0" borderId="0" xfId="0" applyNumberFormat="1" applyFont="1"/>
    <xf numFmtId="10" fontId="0" fillId="2" borderId="8" xfId="0" applyNumberFormat="1" applyFill="1" applyBorder="1" applyAlignment="1">
      <alignment horizontal="center" vertical="center"/>
    </xf>
    <xf numFmtId="10" fontId="0" fillId="2" borderId="6" xfId="0" applyNumberFormat="1" applyFill="1" applyBorder="1" applyAlignment="1">
      <alignment horizontal="center" vertical="center"/>
    </xf>
    <xf numFmtId="10" fontId="0" fillId="0" borderId="0" xfId="0" applyNumberFormat="1"/>
    <xf numFmtId="0" fontId="5" fillId="10" borderId="0" xfId="0" applyFont="1" applyFill="1"/>
    <xf numFmtId="0" fontId="5" fillId="11" borderId="0" xfId="0" applyFont="1" applyFill="1"/>
    <xf numFmtId="3" fontId="5" fillId="11" borderId="0" xfId="0" applyNumberFormat="1" applyFont="1" applyFill="1"/>
    <xf numFmtId="0" fontId="0" fillId="11" borderId="0" xfId="0" applyFill="1"/>
    <xf numFmtId="3" fontId="0" fillId="11" borderId="0" xfId="0" applyNumberFormat="1" applyFill="1"/>
    <xf numFmtId="0" fontId="2" fillId="11" borderId="0" xfId="0" applyFont="1" applyFill="1"/>
    <xf numFmtId="10" fontId="2" fillId="11" borderId="0" xfId="1" applyNumberFormat="1" applyFont="1" applyFill="1"/>
    <xf numFmtId="0" fontId="5" fillId="12" borderId="0" xfId="0" applyFont="1" applyFill="1"/>
    <xf numFmtId="3" fontId="5" fillId="12" borderId="0" xfId="0" applyNumberFormat="1" applyFont="1" applyFill="1"/>
    <xf numFmtId="0" fontId="0" fillId="12" borderId="0" xfId="0" applyFill="1"/>
    <xf numFmtId="10" fontId="0" fillId="12" borderId="0" xfId="0" applyNumberFormat="1" applyFill="1"/>
    <xf numFmtId="2" fontId="0" fillId="12" borderId="0" xfId="0" applyNumberFormat="1" applyFill="1"/>
    <xf numFmtId="0" fontId="2" fillId="12" borderId="0" xfId="0" applyFont="1" applyFill="1"/>
    <xf numFmtId="10" fontId="2" fillId="12" borderId="0" xfId="0" applyNumberFormat="1" applyFont="1" applyFill="1"/>
    <xf numFmtId="0" fontId="5" fillId="13" borderId="0" xfId="0" applyFont="1" applyFill="1"/>
    <xf numFmtId="0" fontId="2" fillId="13" borderId="0" xfId="0" applyFont="1" applyFill="1"/>
    <xf numFmtId="10" fontId="0" fillId="13" borderId="0" xfId="0" applyNumberFormat="1" applyFill="1"/>
    <xf numFmtId="10" fontId="5" fillId="10" borderId="0" xfId="1" applyNumberFormat="1" applyFont="1" applyFill="1"/>
    <xf numFmtId="3" fontId="7" fillId="2" borderId="0" xfId="1" applyNumberFormat="1" applyFont="1" applyFill="1" applyBorder="1"/>
    <xf numFmtId="3" fontId="7" fillId="2" borderId="0" xfId="0" applyNumberFormat="1" applyFont="1" applyFill="1"/>
    <xf numFmtId="0" fontId="7" fillId="2" borderId="11" xfId="0" applyFont="1" applyFill="1" applyBorder="1"/>
    <xf numFmtId="3" fontId="7" fillId="2" borderId="11" xfId="0" applyNumberFormat="1" applyFont="1" applyFill="1" applyBorder="1"/>
    <xf numFmtId="10" fontId="7" fillId="2" borderId="0" xfId="1" applyNumberFormat="1" applyFont="1" applyFill="1"/>
    <xf numFmtId="4" fontId="7" fillId="2" borderId="0" xfId="0" applyNumberFormat="1" applyFont="1" applyFill="1"/>
    <xf numFmtId="0" fontId="0" fillId="0" borderId="0" xfId="0" applyAlignment="1">
      <alignment horizontal="right"/>
    </xf>
    <xf numFmtId="2" fontId="0" fillId="0" borderId="0" xfId="0" applyNumberFormat="1" applyAlignment="1">
      <alignment horizontal="right"/>
    </xf>
    <xf numFmtId="1" fontId="0" fillId="0" borderId="0" xfId="1" applyNumberFormat="1" applyFont="1" applyAlignment="1">
      <alignment horizontal="center"/>
    </xf>
    <xf numFmtId="10" fontId="0" fillId="0" borderId="0" xfId="0" quotePrefix="1" applyNumberFormat="1" applyAlignment="1">
      <alignment horizontal="center"/>
    </xf>
    <xf numFmtId="10" fontId="9" fillId="0" borderId="0" xfId="1" applyNumberFormat="1" applyFont="1" applyBorder="1" applyAlignment="1">
      <alignment horizontal="left"/>
    </xf>
    <xf numFmtId="0" fontId="5" fillId="0" borderId="1" xfId="0" applyFont="1" applyBorder="1" applyAlignment="1">
      <alignment horizontal="left"/>
    </xf>
    <xf numFmtId="2" fontId="5" fillId="0" borderId="1" xfId="0" applyNumberFormat="1" applyFont="1" applyBorder="1" applyAlignment="1">
      <alignment horizontal="right"/>
    </xf>
    <xf numFmtId="10" fontId="12" fillId="0" borderId="0" xfId="1" applyNumberFormat="1" applyFont="1" applyBorder="1" applyAlignment="1"/>
    <xf numFmtId="0" fontId="5" fillId="2" borderId="0" xfId="0" applyFont="1" applyFill="1"/>
    <xf numFmtId="0" fontId="2" fillId="2" borderId="0" xfId="0" applyFont="1" applyFill="1" applyAlignment="1">
      <alignment horizontal="left"/>
    </xf>
    <xf numFmtId="164" fontId="0" fillId="2" borderId="0" xfId="0" applyNumberFormat="1" applyFill="1" applyAlignment="1">
      <alignment horizontal="left"/>
    </xf>
    <xf numFmtId="164" fontId="0" fillId="2" borderId="0" xfId="1" applyNumberFormat="1" applyFont="1" applyFill="1" applyAlignment="1">
      <alignment horizontal="left"/>
    </xf>
    <xf numFmtId="4" fontId="6" fillId="2" borderId="0" xfId="1" applyNumberFormat="1" applyFont="1" applyFill="1"/>
    <xf numFmtId="4" fontId="6" fillId="2" borderId="0" xfId="0" applyNumberFormat="1" applyFont="1" applyFill="1"/>
    <xf numFmtId="10" fontId="7" fillId="2" borderId="1" xfId="1" applyNumberFormat="1" applyFont="1" applyFill="1" applyBorder="1"/>
    <xf numFmtId="0" fontId="7" fillId="2" borderId="2" xfId="0" applyFont="1" applyFill="1" applyBorder="1"/>
    <xf numFmtId="3" fontId="7" fillId="2" borderId="2" xfId="0" applyNumberFormat="1" applyFont="1" applyFill="1" applyBorder="1"/>
    <xf numFmtId="4" fontId="7" fillId="2" borderId="2" xfId="0" applyNumberFormat="1" applyFont="1" applyFill="1" applyBorder="1"/>
    <xf numFmtId="10" fontId="7" fillId="2" borderId="0" xfId="0" applyNumberFormat="1" applyFont="1" applyFill="1"/>
    <xf numFmtId="10" fontId="6" fillId="2" borderId="6" xfId="0" applyNumberFormat="1" applyFont="1" applyFill="1" applyBorder="1"/>
    <xf numFmtId="10" fontId="7" fillId="2" borderId="6" xfId="0" applyNumberFormat="1" applyFont="1" applyFill="1" applyBorder="1"/>
    <xf numFmtId="10" fontId="7" fillId="2" borderId="8" xfId="1" applyNumberFormat="1" applyFont="1" applyFill="1" applyBorder="1" applyAlignment="1">
      <alignment horizontal="right"/>
    </xf>
    <xf numFmtId="10" fontId="6" fillId="2" borderId="12" xfId="1" applyNumberFormat="1" applyFont="1" applyFill="1" applyBorder="1"/>
    <xf numFmtId="10" fontId="7" fillId="2" borderId="12" xfId="1" applyNumberFormat="1" applyFont="1" applyFill="1" applyBorder="1"/>
    <xf numFmtId="9" fontId="7" fillId="2" borderId="12" xfId="0" applyNumberFormat="1" applyFont="1" applyFill="1" applyBorder="1" applyAlignment="1">
      <alignment horizontal="right"/>
    </xf>
    <xf numFmtId="0" fontId="7" fillId="2" borderId="12" xfId="0" applyFont="1" applyFill="1" applyBorder="1" applyAlignment="1">
      <alignment horizontal="right"/>
    </xf>
    <xf numFmtId="0" fontId="5" fillId="0" borderId="0" xfId="0" applyFont="1" applyAlignment="1">
      <alignment vertical="center"/>
    </xf>
    <xf numFmtId="0" fontId="0" fillId="0" borderId="12" xfId="0" applyBorder="1"/>
    <xf numFmtId="0" fontId="0" fillId="0" borderId="8" xfId="0" applyBorder="1"/>
    <xf numFmtId="0" fontId="2" fillId="0" borderId="6" xfId="0" applyFont="1" applyBorder="1"/>
    <xf numFmtId="0" fontId="0" fillId="0" borderId="6" xfId="0" applyBorder="1"/>
    <xf numFmtId="2" fontId="2" fillId="0" borderId="0" xfId="0" applyNumberFormat="1" applyFont="1" applyAlignment="1">
      <alignment horizontal="right" wrapText="1"/>
    </xf>
    <xf numFmtId="2" fontId="5" fillId="0" borderId="1" xfId="0" applyNumberFormat="1" applyFont="1" applyBorder="1" applyAlignment="1">
      <alignment horizontal="right" wrapText="1"/>
    </xf>
    <xf numFmtId="4" fontId="7" fillId="2" borderId="0" xfId="0" applyNumberFormat="1" applyFont="1" applyFill="1" applyAlignment="1">
      <alignment horizontal="right"/>
    </xf>
    <xf numFmtId="10" fontId="7" fillId="2" borderId="0" xfId="0" applyNumberFormat="1" applyFont="1" applyFill="1" applyAlignment="1">
      <alignment horizontal="right"/>
    </xf>
    <xf numFmtId="4" fontId="6" fillId="2" borderId="0" xfId="0" applyNumberFormat="1" applyFont="1" applyFill="1" applyAlignment="1">
      <alignment horizontal="right"/>
    </xf>
    <xf numFmtId="10" fontId="6" fillId="2" borderId="0" xfId="1" applyNumberFormat="1" applyFont="1" applyFill="1" applyAlignment="1">
      <alignment horizontal="right"/>
    </xf>
    <xf numFmtId="0" fontId="7" fillId="2" borderId="8" xfId="0" applyFont="1" applyFill="1" applyBorder="1" applyAlignment="1">
      <alignment horizontal="right"/>
    </xf>
    <xf numFmtId="0" fontId="6" fillId="2" borderId="6" xfId="0" applyFont="1" applyFill="1" applyBorder="1" applyAlignment="1">
      <alignment horizontal="right"/>
    </xf>
    <xf numFmtId="0" fontId="7" fillId="2" borderId="6" xfId="0" applyFont="1" applyFill="1" applyBorder="1" applyAlignment="1">
      <alignment horizontal="right"/>
    </xf>
    <xf numFmtId="0" fontId="13" fillId="0" borderId="0" xfId="0" applyFont="1" applyAlignment="1">
      <alignment horizontal="center" vertical="center" wrapText="1"/>
    </xf>
    <xf numFmtId="0" fontId="0" fillId="0" borderId="0" xfId="0" applyAlignment="1">
      <alignment vertical="center" wrapText="1"/>
    </xf>
    <xf numFmtId="10" fontId="0" fillId="0" borderId="0" xfId="1" applyNumberFormat="1" applyFont="1" applyAlignment="1">
      <alignment vertical="center" wrapText="1"/>
    </xf>
    <xf numFmtId="2" fontId="0" fillId="0" borderId="0" xfId="1" applyNumberFormat="1" applyFont="1"/>
    <xf numFmtId="0" fontId="5" fillId="0" borderId="0" xfId="1" applyNumberFormat="1" applyFont="1" applyAlignment="1">
      <alignment horizontal="right"/>
    </xf>
    <xf numFmtId="0" fontId="5" fillId="0" borderId="0" xfId="0" applyFont="1" applyAlignment="1">
      <alignment horizontal="right"/>
    </xf>
    <xf numFmtId="0" fontId="14" fillId="0" borderId="0" xfId="0" applyFont="1" applyAlignment="1">
      <alignment vertical="center"/>
    </xf>
    <xf numFmtId="0" fontId="14" fillId="0" borderId="0" xfId="0" applyFont="1"/>
    <xf numFmtId="0" fontId="0" fillId="16" borderId="0" xfId="0" applyFill="1"/>
    <xf numFmtId="166" fontId="0" fillId="0" borderId="0" xfId="0" applyNumberFormat="1"/>
    <xf numFmtId="0" fontId="5" fillId="0" borderId="12" xfId="0" applyFont="1" applyBorder="1"/>
    <xf numFmtId="10" fontId="5" fillId="0" borderId="0" xfId="1" applyNumberFormat="1" applyFont="1"/>
    <xf numFmtId="0" fontId="2" fillId="0" borderId="12" xfId="0" applyFont="1" applyBorder="1"/>
    <xf numFmtId="10" fontId="2" fillId="0" borderId="0" xfId="1" applyNumberFormat="1" applyFont="1"/>
    <xf numFmtId="165" fontId="7" fillId="0" borderId="0" xfId="2" applyNumberFormat="1" applyFont="1" applyBorder="1" applyAlignment="1">
      <alignment wrapText="1"/>
    </xf>
    <xf numFmtId="0" fontId="10" fillId="17" borderId="0" xfId="0" applyFont="1" applyFill="1" applyAlignment="1">
      <alignment horizontal="center" vertical="center"/>
    </xf>
    <xf numFmtId="0" fontId="15" fillId="17" borderId="0" xfId="0" applyFont="1" applyFill="1" applyAlignment="1">
      <alignment horizontal="center" vertical="center"/>
    </xf>
    <xf numFmtId="0" fontId="0" fillId="17" borderId="0" xfId="0" applyFill="1" applyAlignment="1">
      <alignment horizontal="center" vertical="center"/>
    </xf>
    <xf numFmtId="2" fontId="2" fillId="0" borderId="0" xfId="0" applyNumberFormat="1" applyFont="1" applyAlignment="1">
      <alignment horizontal="center"/>
    </xf>
    <xf numFmtId="2" fontId="0" fillId="0" borderId="0" xfId="0" applyNumberFormat="1" applyAlignment="1">
      <alignment horizontal="center"/>
    </xf>
    <xf numFmtId="2" fontId="5" fillId="0" borderId="0" xfId="0" applyNumberFormat="1" applyFont="1" applyAlignment="1">
      <alignment horizontal="center"/>
    </xf>
    <xf numFmtId="0" fontId="0" fillId="0" borderId="13" xfId="0" applyBorder="1"/>
    <xf numFmtId="2" fontId="2" fillId="0" borderId="13" xfId="0" applyNumberFormat="1" applyFont="1" applyBorder="1" applyAlignment="1">
      <alignment horizontal="center"/>
    </xf>
    <xf numFmtId="2" fontId="0" fillId="0" borderId="13" xfId="0" applyNumberFormat="1" applyBorder="1" applyAlignment="1">
      <alignment horizontal="center"/>
    </xf>
    <xf numFmtId="0" fontId="0" fillId="0" borderId="13" xfId="0" applyBorder="1" applyAlignment="1">
      <alignment horizontal="center"/>
    </xf>
    <xf numFmtId="0" fontId="5" fillId="0" borderId="11" xfId="0" applyFont="1" applyBorder="1"/>
    <xf numFmtId="0" fontId="0" fillId="0" borderId="11" xfId="0" applyBorder="1"/>
    <xf numFmtId="167" fontId="5" fillId="0" borderId="11" xfId="0" applyNumberFormat="1" applyFont="1" applyBorder="1" applyAlignment="1">
      <alignment horizontal="center"/>
    </xf>
    <xf numFmtId="167" fontId="5" fillId="0" borderId="2" xfId="0" applyNumberFormat="1" applyFont="1" applyBorder="1" applyAlignment="1">
      <alignment horizontal="center"/>
    </xf>
    <xf numFmtId="0" fontId="5" fillId="10" borderId="0" xfId="0" applyFont="1" applyFill="1" applyAlignment="1">
      <alignment horizontal="right"/>
    </xf>
    <xf numFmtId="0" fontId="5" fillId="0" borderId="6" xfId="0" applyFont="1" applyBorder="1"/>
    <xf numFmtId="168" fontId="7" fillId="0" borderId="0" xfId="2" applyNumberFormat="1" applyFont="1" applyBorder="1" applyAlignment="1">
      <alignment wrapText="1"/>
    </xf>
    <xf numFmtId="0" fontId="5" fillId="8" borderId="3" xfId="0" applyFont="1" applyFill="1" applyBorder="1" applyAlignment="1">
      <alignment horizontal="center" vertical="center"/>
    </xf>
    <xf numFmtId="0" fontId="5" fillId="8" borderId="4" xfId="0" applyFont="1" applyFill="1" applyBorder="1" applyAlignment="1">
      <alignment horizontal="center" vertical="center"/>
    </xf>
    <xf numFmtId="0" fontId="5" fillId="3" borderId="0" xfId="0" applyFont="1" applyFill="1" applyAlignment="1">
      <alignment horizontal="center"/>
    </xf>
    <xf numFmtId="0" fontId="5" fillId="7" borderId="0" xfId="0" applyFont="1" applyFill="1" applyAlignment="1">
      <alignment horizontal="center"/>
    </xf>
    <xf numFmtId="0" fontId="5" fillId="9" borderId="0" xfId="0" applyFont="1" applyFill="1" applyAlignment="1">
      <alignment horizontal="center"/>
    </xf>
    <xf numFmtId="10" fontId="10" fillId="14" borderId="0" xfId="1" applyNumberFormat="1" applyFont="1" applyFill="1" applyAlignment="1">
      <alignment horizontal="center" vertical="center"/>
    </xf>
    <xf numFmtId="0" fontId="6" fillId="15" borderId="0" xfId="0" applyFont="1" applyFill="1" applyAlignment="1">
      <alignment horizontal="center" vertical="center"/>
    </xf>
    <xf numFmtId="0" fontId="10" fillId="17" borderId="0" xfId="0" applyFont="1" applyFill="1" applyAlignment="1">
      <alignment horizontal="center" vertical="center"/>
    </xf>
    <xf numFmtId="0" fontId="5" fillId="10" borderId="0" xfId="0" applyFont="1" applyFill="1" applyAlignment="1">
      <alignment horizontal="center"/>
    </xf>
  </cellXfs>
  <cellStyles count="3">
    <cellStyle name="Hyperlink" xfId="2" builtinId="8"/>
    <cellStyle name="Normal" xfId="0" builtinId="0"/>
    <cellStyle name="Per cent" xfId="1" builtinId="5"/>
  </cellStyles>
  <dxfs count="3">
    <dxf>
      <alignment horizontal="left" vertical="bottom" textRotation="0" wrapText="0" indent="0" justifyLastLine="0" shrinkToFit="0" readingOrder="0"/>
    </dxf>
    <dxf>
      <font>
        <b/>
        <family val="2"/>
      </font>
      <alignment horizontal="left" vertical="bottom" textRotation="0" wrapText="0" indent="0" justifyLastLine="0" shrinkToFit="0" readingOrder="0"/>
    </dxf>
    <dxf>
      <font>
        <b val="0"/>
        <i/>
        <strike val="0"/>
        <condense val="0"/>
        <extend val="0"/>
        <outline val="0"/>
        <shadow val="0"/>
        <u val="none"/>
        <vertAlign val="baseline"/>
        <sz val="10"/>
        <color rgb="FF000000"/>
        <name val="Arial"/>
        <family val="2"/>
        <scheme val="minor"/>
      </font>
      <alignment horizontal="left" vertical="bottom" textRotation="0" wrapText="0" indent="0" justifyLastLine="0" shrinkToFit="0" readingOrder="0"/>
    </dxf>
  </dxfs>
  <tableStyles count="0" defaultTableStyle="TableStyleMedium2" defaultPivotStyle="PivotStyleLight16"/>
  <colors>
    <mruColors>
      <color rgb="FFD66B00"/>
      <color rgb="FFF814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ichStyles" Target="richData/richStyles.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'Charts (Hidden)'!$A$15</c:f>
              <c:strCache>
                <c:ptCount val="1"/>
                <c:pt idx="0">
                  <c:v>ROIC</c:v>
                </c:pt>
              </c:strCache>
            </c:strRef>
          </c:tx>
          <c:spPr>
            <a:ln w="12700" cap="rnd">
              <a:solidFill>
                <a:schemeClr val="accent1"/>
              </a:solidFill>
              <a:round/>
            </a:ln>
            <a:effectLst/>
          </c:spPr>
          <c:marker>
            <c:symbol val="none"/>
          </c:marker>
          <c:dPt>
            <c:idx val="5"/>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E-8A48-4A6B-B2E5-D7F58A8ABFF6}"/>
              </c:ext>
            </c:extLst>
          </c:dPt>
          <c:dPt>
            <c:idx val="6"/>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F-8A48-4A6B-B2E5-D7F58A8ABFF6}"/>
              </c:ext>
            </c:extLst>
          </c:dPt>
          <c:dPt>
            <c:idx val="7"/>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10-8A48-4A6B-B2E5-D7F58A8ABFF6}"/>
              </c:ext>
            </c:extLst>
          </c:dPt>
          <c:dPt>
            <c:idx val="8"/>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11-8A48-4A6B-B2E5-D7F58A8ABFF6}"/>
              </c:ext>
            </c:extLst>
          </c:dPt>
          <c:dPt>
            <c:idx val="9"/>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12-8A48-4A6B-B2E5-D7F58A8ABFF6}"/>
              </c:ext>
            </c:extLst>
          </c:dPt>
          <c:cat>
            <c:numRef>
              <c:f>'Charts (Hidden)'!$B$14:$K$14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'Charts (Hidden)'!$B$15:$K$15</c:f>
              <c:numCache>
                <c:formatCode>0.00%</c:formatCode>
                <c:ptCount val="10"/>
                <c:pt idx="0">
                  <c:v>0.12052685412190689</c:v>
                </c:pt>
                <c:pt idx="1">
                  <c:v>0.18340912761613401</c:v>
                </c:pt>
                <c:pt idx="2">
                  <c:v>0.20614295889794707</c:v>
                </c:pt>
                <c:pt idx="3">
                  <c:v>0.17058784223255349</c:v>
                </c:pt>
                <c:pt idx="4">
                  <c:v>0.13736775510436366</c:v>
                </c:pt>
                <c:pt idx="5">
                  <c:v>0.14166671837205444</c:v>
                </c:pt>
                <c:pt idx="6">
                  <c:v>0.14488905562024604</c:v>
                </c:pt>
                <c:pt idx="7">
                  <c:v>0.14673284169253728</c:v>
                </c:pt>
                <c:pt idx="8">
                  <c:v>0.14744716587292184</c:v>
                </c:pt>
                <c:pt idx="9">
                  <c:v>0.14724035979985084</c:v>
                </c:pt>
              </c:numCache>
            </c:numRef>
          </c:val>
          <c:smooth val="0"/>
          <c:extLst>
            <c:ext xmlns:c16="http://schemas.microsoft.com/office/drawing/2014/chart" uri="{C3380CC4-5D6E-409C-BE32-E72D297353CC}">
              <c16:uniqueId val="{00000000-8A48-4A6B-B2E5-D7F58A8ABFF6}"/>
            </c:ext>
          </c:extLst>
        </c:ser>
        <c:ser>
          <c:idx val="1"/>
          <c:order val="1"/>
          <c:tx>
            <c:strRef>
              <c:f>'Charts (Hidden)'!$A$16</c:f>
              <c:strCache>
                <c:ptCount val="1"/>
                <c:pt idx="0">
                  <c:v>ROE</c:v>
                </c:pt>
              </c:strCache>
            </c:strRef>
          </c:tx>
          <c:spPr>
            <a:ln w="12700" cap="rnd">
              <a:solidFill>
                <a:schemeClr val="accent2"/>
              </a:solidFill>
              <a:round/>
            </a:ln>
            <a:effectLst/>
          </c:spPr>
          <c:marker>
            <c:symbol val="none"/>
          </c:marker>
          <c:dPt>
            <c:idx val="5"/>
            <c:marker>
              <c:symbol val="none"/>
            </c:marker>
            <c:bubble3D val="0"/>
            <c:spPr>
              <a:ln w="12700" cap="rnd">
                <a:solidFill>
                  <a:srgbClr val="FF0000"/>
                </a:solidFill>
                <a:prstDash val="dash"/>
                <a:round/>
              </a:ln>
              <a:effectLst/>
            </c:spPr>
            <c:extLst>
              <c:ext xmlns:c16="http://schemas.microsoft.com/office/drawing/2014/chart" uri="{C3380CC4-5D6E-409C-BE32-E72D297353CC}">
                <c16:uniqueId val="{00000002-8A48-4A6B-B2E5-D7F58A8ABFF6}"/>
              </c:ext>
            </c:extLst>
          </c:dPt>
          <c:dPt>
            <c:idx val="6"/>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A-8A48-4A6B-B2E5-D7F58A8ABFF6}"/>
              </c:ext>
            </c:extLst>
          </c:dPt>
          <c:dPt>
            <c:idx val="7"/>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B-8A48-4A6B-B2E5-D7F58A8ABFF6}"/>
              </c:ext>
            </c:extLst>
          </c:dPt>
          <c:dPt>
            <c:idx val="8"/>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C-8A48-4A6B-B2E5-D7F58A8ABFF6}"/>
              </c:ext>
            </c:extLst>
          </c:dPt>
          <c:dPt>
            <c:idx val="9"/>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D-8A48-4A6B-B2E5-D7F58A8ABFF6}"/>
              </c:ext>
            </c:extLst>
          </c:dPt>
          <c:cat>
            <c:numRef>
              <c:f>'Charts (Hidden)'!$B$14:$K$14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'Charts (Hidden)'!$B$16:$K$16</c:f>
              <c:numCache>
                <c:formatCode>0.00%</c:formatCode>
                <c:ptCount val="10"/>
                <c:pt idx="0">
                  <c:v>0.14391108595967078</c:v>
                </c:pt>
                <c:pt idx="1">
                  <c:v>0.20751303127916723</c:v>
                </c:pt>
                <c:pt idx="2">
                  <c:v>0.22631084737241672</c:v>
                </c:pt>
                <c:pt idx="3">
                  <c:v>0.18277522361645207</c:v>
                </c:pt>
                <c:pt idx="4">
                  <c:v>0.15665190278422564</c:v>
                </c:pt>
                <c:pt idx="5">
                  <c:v>0.18855848149619225</c:v>
                </c:pt>
                <c:pt idx="6">
                  <c:v>0.18733308068694063</c:v>
                </c:pt>
                <c:pt idx="7">
                  <c:v>0.18429216710688573</c:v>
                </c:pt>
                <c:pt idx="8">
                  <c:v>0.17989398115214975</c:v>
                </c:pt>
                <c:pt idx="9">
                  <c:v>0.17450494131580821</c:v>
                </c:pt>
              </c:numCache>
            </c:numRef>
          </c:val>
          <c:smooth val="0"/>
          <c:extLst>
            <c:ext xmlns:c16="http://schemas.microsoft.com/office/drawing/2014/chart" uri="{C3380CC4-5D6E-409C-BE32-E72D297353CC}">
              <c16:uniqueId val="{00000001-8A48-4A6B-B2E5-D7F58A8ABFF6}"/>
            </c:ext>
          </c:extLst>
        </c:ser>
        <c:dLbls>
          <c:showLegendKey val="0"/>
          <c:showVal val="0"/>
          <c:showCatName val="0"/>
          <c:showSerName val="0"/>
          <c:showPercent val="0"/>
          <c:showBubbleSize val="0"/>
        </c:dLbls>
        <c:smooth val="0"/>
        <c:axId val="1602551263"/>
        <c:axId val="1602552703"/>
      </c:lineChart>
      <c:catAx>
        <c:axId val="160255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552703"/>
        <c:crosses val="autoZero"/>
        <c:auto val="1"/>
        <c:lblAlgn val="ctr"/>
        <c:lblOffset val="100"/>
        <c:tickLblSkip val="3"/>
        <c:tickMarkSkip val="1"/>
        <c:noMultiLvlLbl val="0"/>
      </c:catAx>
      <c:valAx>
        <c:axId val="1602552703"/>
        <c:scaling>
          <c:orientation val="minMax"/>
          <c:max val="0.25"/>
          <c:min val="0.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551263"/>
        <c:crosses val="autoZero"/>
        <c:crossBetween val="between"/>
        <c:majorUnit val="5.000000000000001E-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Revenue</c:v>
          </c:tx>
          <c:spPr>
            <a:ln w="12700" cap="rnd">
              <a:solidFill>
                <a:schemeClr val="accent1"/>
              </a:solidFill>
              <a:round/>
            </a:ln>
            <a:effectLst/>
          </c:spPr>
          <c:marker>
            <c:symbol val="none"/>
          </c:marker>
          <c:dPt>
            <c:idx val="5"/>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4-C008-44E3-8E40-3FA24BA508C0}"/>
              </c:ext>
            </c:extLst>
          </c:dPt>
          <c:dPt>
            <c:idx val="6"/>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5-C008-44E3-8E40-3FA24BA508C0}"/>
              </c:ext>
            </c:extLst>
          </c:dPt>
          <c:dPt>
            <c:idx val="7"/>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6-C008-44E3-8E40-3FA24BA508C0}"/>
              </c:ext>
            </c:extLst>
          </c:dPt>
          <c:dPt>
            <c:idx val="8"/>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7-C008-44E3-8E40-3FA24BA508C0}"/>
              </c:ext>
            </c:extLst>
          </c:dPt>
          <c:dPt>
            <c:idx val="9"/>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8-C008-44E3-8E40-3FA24BA508C0}"/>
              </c:ext>
            </c:extLst>
          </c:dPt>
          <c:cat>
            <c:numRef>
              <c:f>BS!$C$3:$L$3</c:f>
              <c:numCache>
                <c:formatCode>0</c:formatCode>
                <c:ptCount val="10"/>
                <c:pt idx="0" formatCode="General">
                  <c:v>2020</c:v>
                </c:pt>
                <c:pt idx="1">
                  <c:v>2021</c:v>
                </c:pt>
                <c:pt idx="2">
                  <c:v>2022</c:v>
                </c:pt>
                <c:pt idx="3">
                  <c:v>2023</c:v>
                </c:pt>
                <c:pt idx="4">
                  <c:v>2024</c:v>
                </c:pt>
                <c:pt idx="5">
                  <c:v>2025</c:v>
                </c:pt>
                <c:pt idx="6">
                  <c:v>2026</c:v>
                </c:pt>
                <c:pt idx="7">
                  <c:v>2027</c:v>
                </c:pt>
                <c:pt idx="8">
                  <c:v>2028</c:v>
                </c:pt>
                <c:pt idx="9">
                  <c:v>2029</c:v>
                </c:pt>
              </c:numCache>
            </c:numRef>
          </c:cat>
          <c:val>
            <c:numRef>
              <c:f>IS!$C$5:$L$5</c:f>
              <c:numCache>
                <c:formatCode>#,##0</c:formatCode>
                <c:ptCount val="10"/>
                <c:pt idx="0">
                  <c:v>1822366</c:v>
                </c:pt>
                <c:pt idx="1">
                  <c:v>2288704</c:v>
                </c:pt>
                <c:pt idx="2">
                  <c:v>2792057</c:v>
                </c:pt>
                <c:pt idx="3">
                  <c:v>2881433</c:v>
                </c:pt>
                <c:pt idx="4">
                  <c:v>3209074</c:v>
                </c:pt>
                <c:pt idx="5">
                  <c:v>3507041.9317356744</c:v>
                </c:pt>
                <c:pt idx="6">
                  <c:v>3832676.688338222</c:v>
                </c:pt>
                <c:pt idx="7">
                  <c:v>4188547.181145703</c:v>
                </c:pt>
                <c:pt idx="8">
                  <c:v>4577460.8492453713</c:v>
                </c:pt>
                <c:pt idx="9">
                  <c:v>5002485.8071773686</c:v>
                </c:pt>
              </c:numCache>
            </c:numRef>
          </c:val>
          <c:smooth val="0"/>
          <c:extLst>
            <c:ext xmlns:c16="http://schemas.microsoft.com/office/drawing/2014/chart" uri="{C3380CC4-5D6E-409C-BE32-E72D297353CC}">
              <c16:uniqueId val="{00000000-C008-44E3-8E40-3FA24BA508C0}"/>
            </c:ext>
          </c:extLst>
        </c:ser>
        <c:ser>
          <c:idx val="1"/>
          <c:order val="1"/>
          <c:tx>
            <c:v>COGS</c:v>
          </c:tx>
          <c:spPr>
            <a:ln w="12700" cap="rnd">
              <a:solidFill>
                <a:schemeClr val="accent2"/>
              </a:solidFill>
              <a:round/>
            </a:ln>
            <a:effectLst/>
          </c:spPr>
          <c:marker>
            <c:symbol val="none"/>
          </c:marker>
          <c:dPt>
            <c:idx val="5"/>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9-C008-44E3-8E40-3FA24BA508C0}"/>
              </c:ext>
            </c:extLst>
          </c:dPt>
          <c:dPt>
            <c:idx val="6"/>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A-C008-44E3-8E40-3FA24BA508C0}"/>
              </c:ext>
            </c:extLst>
          </c:dPt>
          <c:dPt>
            <c:idx val="7"/>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B-C008-44E3-8E40-3FA24BA508C0}"/>
              </c:ext>
            </c:extLst>
          </c:dPt>
          <c:dPt>
            <c:idx val="8"/>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C-C008-44E3-8E40-3FA24BA508C0}"/>
              </c:ext>
            </c:extLst>
          </c:dPt>
          <c:dPt>
            <c:idx val="9"/>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D-C008-44E3-8E40-3FA24BA508C0}"/>
              </c:ext>
            </c:extLst>
          </c:dPt>
          <c:cat>
            <c:numRef>
              <c:f>BS!$C$3:$L$3</c:f>
              <c:numCache>
                <c:formatCode>0</c:formatCode>
                <c:ptCount val="10"/>
                <c:pt idx="0" formatCode="General">
                  <c:v>2020</c:v>
                </c:pt>
                <c:pt idx="1">
                  <c:v>2021</c:v>
                </c:pt>
                <c:pt idx="2">
                  <c:v>2022</c:v>
                </c:pt>
                <c:pt idx="3">
                  <c:v>2023</c:v>
                </c:pt>
                <c:pt idx="4">
                  <c:v>2024</c:v>
                </c:pt>
                <c:pt idx="5">
                  <c:v>2025</c:v>
                </c:pt>
                <c:pt idx="6">
                  <c:v>2026</c:v>
                </c:pt>
                <c:pt idx="7">
                  <c:v>2027</c:v>
                </c:pt>
                <c:pt idx="8">
                  <c:v>2028</c:v>
                </c:pt>
                <c:pt idx="9">
                  <c:v>2029</c:v>
                </c:pt>
              </c:numCache>
            </c:numRef>
          </c:cat>
          <c:val>
            <c:numRef>
              <c:f>IS!$C$18:$L$18</c:f>
              <c:numCache>
                <c:formatCode>#,##0</c:formatCode>
                <c:ptCount val="10"/>
                <c:pt idx="0">
                  <c:v>1509918.723668023</c:v>
                </c:pt>
                <c:pt idx="1">
                  <c:v>1815758.4238174632</c:v>
                </c:pt>
                <c:pt idx="2">
                  <c:v>2164316.9068073411</c:v>
                </c:pt>
                <c:pt idx="3">
                  <c:v>2241182.4269612548</c:v>
                </c:pt>
                <c:pt idx="4">
                  <c:v>2512332.6789486655</c:v>
                </c:pt>
                <c:pt idx="5">
                  <c:v>2638583.6601058999</c:v>
                </c:pt>
                <c:pt idx="6">
                  <c:v>2851376.017764112</c:v>
                </c:pt>
                <c:pt idx="7">
                  <c:v>3085536.7338267285</c:v>
                </c:pt>
                <c:pt idx="8">
                  <c:v>3342969.3849406159</c:v>
                </c:pt>
                <c:pt idx="9">
                  <c:v>3625758.3236269429</c:v>
                </c:pt>
              </c:numCache>
            </c:numRef>
          </c:val>
          <c:smooth val="0"/>
          <c:extLst>
            <c:ext xmlns:c16="http://schemas.microsoft.com/office/drawing/2014/chart" uri="{C3380CC4-5D6E-409C-BE32-E72D297353CC}">
              <c16:uniqueId val="{00000001-C008-44E3-8E40-3FA24BA508C0}"/>
            </c:ext>
          </c:extLst>
        </c:ser>
        <c:dLbls>
          <c:showLegendKey val="0"/>
          <c:showVal val="0"/>
          <c:showCatName val="0"/>
          <c:showSerName val="0"/>
          <c:showPercent val="0"/>
          <c:showBubbleSize val="0"/>
        </c:dLbls>
        <c:smooth val="0"/>
        <c:axId val="1590661711"/>
        <c:axId val="1590661231"/>
      </c:lineChart>
      <c:catAx>
        <c:axId val="159066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661231"/>
        <c:crosses val="autoZero"/>
        <c:auto val="1"/>
        <c:lblAlgn val="ctr"/>
        <c:lblOffset val="100"/>
        <c:tickLblSkip val="3"/>
        <c:tickMarkSkip val="3"/>
        <c:noMultiLvlLbl val="0"/>
      </c:catAx>
      <c:valAx>
        <c:axId val="159066123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661711"/>
        <c:crosses val="autoZero"/>
        <c:crossBetween val="between"/>
        <c:majorUnit val="2000000"/>
        <c:dispUnits>
          <c:builtInUnit val="millions"/>
          <c:dispUnitsLbl>
            <c:layout>
              <c:manualLayout>
                <c:xMode val="edge"/>
                <c:yMode val="edge"/>
                <c:x val="1.634635630384831E-2"/>
                <c:y val="0.44542679841668203"/>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$bn</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EBIT</c:v>
          </c:tx>
          <c:spPr>
            <a:ln w="12700" cap="rnd">
              <a:solidFill>
                <a:schemeClr val="accent1"/>
              </a:solidFill>
              <a:round/>
            </a:ln>
            <a:effectLst/>
          </c:spPr>
          <c:marker>
            <c:symbol val="none"/>
          </c:marker>
          <c:dPt>
            <c:idx val="5"/>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A-B3D5-4B31-8367-7B261A49284B}"/>
              </c:ext>
            </c:extLst>
          </c:dPt>
          <c:dPt>
            <c:idx val="6"/>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9-B3D5-4B31-8367-7B261A49284B}"/>
              </c:ext>
            </c:extLst>
          </c:dPt>
          <c:dPt>
            <c:idx val="7"/>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B-B3D5-4B31-8367-7B261A49284B}"/>
              </c:ext>
            </c:extLst>
          </c:dPt>
          <c:dPt>
            <c:idx val="8"/>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C-B3D5-4B31-8367-7B261A49284B}"/>
              </c:ext>
            </c:extLst>
          </c:dPt>
          <c:dPt>
            <c:idx val="9"/>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D-B3D5-4B31-8367-7B261A49284B}"/>
              </c:ext>
            </c:extLst>
          </c:dPt>
          <c:cat>
            <c:numRef>
              <c:f>IS!$C$3:$L$3</c:f>
              <c:numCache>
                <c:formatCode>0</c:formatCode>
                <c:ptCount val="10"/>
                <c:pt idx="0" formatCode="General">
                  <c:v>2020</c:v>
                </c:pt>
                <c:pt idx="1">
                  <c:v>2021</c:v>
                </c:pt>
                <c:pt idx="2">
                  <c:v>2022</c:v>
                </c:pt>
                <c:pt idx="3">
                  <c:v>2023</c:v>
                </c:pt>
                <c:pt idx="4">
                  <c:v>2024</c:v>
                </c:pt>
                <c:pt idx="5">
                  <c:v>2025</c:v>
                </c:pt>
                <c:pt idx="6">
                  <c:v>2026</c:v>
                </c:pt>
                <c:pt idx="7">
                  <c:v>2027</c:v>
                </c:pt>
                <c:pt idx="8">
                  <c:v>2028</c:v>
                </c:pt>
                <c:pt idx="9">
                  <c:v>2029</c:v>
                </c:pt>
              </c:numCache>
            </c:numRef>
          </c:cat>
          <c:val>
            <c:numRef>
              <c:f>IS!$C$25:$L$25</c:f>
              <c:numCache>
                <c:formatCode>#,##0</c:formatCode>
                <c:ptCount val="10"/>
                <c:pt idx="0">
                  <c:v>180321</c:v>
                </c:pt>
                <c:pt idx="1">
                  <c:v>335141</c:v>
                </c:pt>
                <c:pt idx="2">
                  <c:v>470488</c:v>
                </c:pt>
                <c:pt idx="3">
                  <c:v>460496</c:v>
                </c:pt>
                <c:pt idx="4">
                  <c:v>482160</c:v>
                </c:pt>
                <c:pt idx="5">
                  <c:v>507241.29059726372</c:v>
                </c:pt>
                <c:pt idx="6">
                  <c:v>586544.08380297758</c:v>
                </c:pt>
                <c:pt idx="7">
                  <c:v>671600.04586509289</c:v>
                </c:pt>
                <c:pt idx="8">
                  <c:v>763023.87967265211</c:v>
                </c:pt>
                <c:pt idx="9">
                  <c:v>861483.33874138584</c:v>
                </c:pt>
              </c:numCache>
            </c:numRef>
          </c:val>
          <c:smooth val="0"/>
          <c:extLst>
            <c:ext xmlns:c16="http://schemas.microsoft.com/office/drawing/2014/chart" uri="{C3380CC4-5D6E-409C-BE32-E72D297353CC}">
              <c16:uniqueId val="{00000000-B3D5-4B31-8367-7B261A49284B}"/>
            </c:ext>
          </c:extLst>
        </c:ser>
        <c:ser>
          <c:idx val="1"/>
          <c:order val="1"/>
          <c:tx>
            <c:v>Net Income</c:v>
          </c:tx>
          <c:spPr>
            <a:ln w="12700" cap="rnd">
              <a:solidFill>
                <a:schemeClr val="accent2"/>
              </a:solidFill>
              <a:round/>
            </a:ln>
            <a:effectLst/>
          </c:spPr>
          <c:marker>
            <c:symbol val="none"/>
          </c:marker>
          <c:dPt>
            <c:idx val="5"/>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F-B3D5-4B31-8367-7B261A49284B}"/>
              </c:ext>
            </c:extLst>
          </c:dPt>
          <c:dPt>
            <c:idx val="6"/>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E-B3D5-4B31-8367-7B261A49284B}"/>
              </c:ext>
            </c:extLst>
          </c:dPt>
          <c:dPt>
            <c:idx val="7"/>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10-B3D5-4B31-8367-7B261A49284B}"/>
              </c:ext>
            </c:extLst>
          </c:dPt>
          <c:dPt>
            <c:idx val="8"/>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11-B3D5-4B31-8367-7B261A49284B}"/>
              </c:ext>
            </c:extLst>
          </c:dPt>
          <c:dPt>
            <c:idx val="9"/>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12-B3D5-4B31-8367-7B261A49284B}"/>
              </c:ext>
            </c:extLst>
          </c:dPt>
          <c:cat>
            <c:numRef>
              <c:f>IS!$C$3:$L$3</c:f>
              <c:numCache>
                <c:formatCode>0</c:formatCode>
                <c:ptCount val="10"/>
                <c:pt idx="0" formatCode="General">
                  <c:v>2020</c:v>
                </c:pt>
                <c:pt idx="1">
                  <c:v>2021</c:v>
                </c:pt>
                <c:pt idx="2">
                  <c:v>2022</c:v>
                </c:pt>
                <c:pt idx="3">
                  <c:v>2023</c:v>
                </c:pt>
                <c:pt idx="4">
                  <c:v>2024</c:v>
                </c:pt>
                <c:pt idx="5">
                  <c:v>2025</c:v>
                </c:pt>
                <c:pt idx="6">
                  <c:v>2026</c:v>
                </c:pt>
                <c:pt idx="7">
                  <c:v>2027</c:v>
                </c:pt>
                <c:pt idx="8">
                  <c:v>2028</c:v>
                </c:pt>
                <c:pt idx="9">
                  <c:v>2029</c:v>
                </c:pt>
              </c:numCache>
            </c:numRef>
          </c:cat>
          <c:val>
            <c:numRef>
              <c:f>IS!$C$36:$L$36</c:f>
              <c:numCache>
                <c:formatCode>#,##0</c:formatCode>
                <c:ptCount val="10"/>
                <c:pt idx="0">
                  <c:v>138340</c:v>
                </c:pt>
                <c:pt idx="1">
                  <c:v>253235</c:v>
                </c:pt>
                <c:pt idx="2">
                  <c:v>357422</c:v>
                </c:pt>
                <c:pt idx="3">
                  <c:v>354857</c:v>
                </c:pt>
                <c:pt idx="4">
                  <c:v>362065</c:v>
                </c:pt>
                <c:pt idx="5">
                  <c:v>383704.04338093224</c:v>
                </c:pt>
                <c:pt idx="6">
                  <c:v>444742.93888102547</c:v>
                </c:pt>
                <c:pt idx="7">
                  <c:v>510191.21788220759</c:v>
                </c:pt>
                <c:pt idx="8">
                  <c:v>580520.00522796367</c:v>
                </c:pt>
                <c:pt idx="9">
                  <c:v>656241.08519032679</c:v>
                </c:pt>
              </c:numCache>
            </c:numRef>
          </c:val>
          <c:smooth val="0"/>
          <c:extLst>
            <c:ext xmlns:c16="http://schemas.microsoft.com/office/drawing/2014/chart" uri="{C3380CC4-5D6E-409C-BE32-E72D297353CC}">
              <c16:uniqueId val="{00000001-B3D5-4B31-8367-7B261A49284B}"/>
            </c:ext>
          </c:extLst>
        </c:ser>
        <c:ser>
          <c:idx val="2"/>
          <c:order val="2"/>
          <c:tx>
            <c:v>EBITDA</c:v>
          </c:tx>
          <c:spPr>
            <a:ln w="12700" cap="rnd">
              <a:solidFill>
                <a:schemeClr val="accent4"/>
              </a:solidFill>
              <a:round/>
            </a:ln>
            <a:effectLst/>
          </c:spPr>
          <c:marker>
            <c:symbol val="none"/>
          </c:marker>
          <c:dPt>
            <c:idx val="5"/>
            <c:marker>
              <c:symbol val="none"/>
            </c:marker>
            <c:bubble3D val="0"/>
            <c:spPr>
              <a:ln w="12700" cap="rnd">
                <a:solidFill>
                  <a:schemeClr val="accent4"/>
                </a:solidFill>
                <a:prstDash val="dash"/>
                <a:round/>
              </a:ln>
              <a:effectLst/>
            </c:spPr>
            <c:extLst>
              <c:ext xmlns:c16="http://schemas.microsoft.com/office/drawing/2014/chart" uri="{C3380CC4-5D6E-409C-BE32-E72D297353CC}">
                <c16:uniqueId val="{00000003-B3D5-4B31-8367-7B261A49284B}"/>
              </c:ext>
            </c:extLst>
          </c:dPt>
          <c:dPt>
            <c:idx val="6"/>
            <c:marker>
              <c:symbol val="none"/>
            </c:marker>
            <c:bubble3D val="0"/>
            <c:spPr>
              <a:ln w="12700" cap="rnd">
                <a:solidFill>
                  <a:schemeClr val="accent4"/>
                </a:solidFill>
                <a:prstDash val="dash"/>
                <a:round/>
              </a:ln>
              <a:effectLst/>
            </c:spPr>
            <c:extLst>
              <c:ext xmlns:c16="http://schemas.microsoft.com/office/drawing/2014/chart" uri="{C3380CC4-5D6E-409C-BE32-E72D297353CC}">
                <c16:uniqueId val="{00000004-B3D5-4B31-8367-7B261A49284B}"/>
              </c:ext>
            </c:extLst>
          </c:dPt>
          <c:dPt>
            <c:idx val="7"/>
            <c:marker>
              <c:symbol val="none"/>
            </c:marker>
            <c:bubble3D val="0"/>
            <c:spPr>
              <a:ln w="12700" cap="rnd">
                <a:solidFill>
                  <a:schemeClr val="accent4"/>
                </a:solidFill>
                <a:prstDash val="dash"/>
                <a:round/>
              </a:ln>
              <a:effectLst/>
            </c:spPr>
            <c:extLst>
              <c:ext xmlns:c16="http://schemas.microsoft.com/office/drawing/2014/chart" uri="{C3380CC4-5D6E-409C-BE32-E72D297353CC}">
                <c16:uniqueId val="{00000005-B3D5-4B31-8367-7B261A49284B}"/>
              </c:ext>
            </c:extLst>
          </c:dPt>
          <c:dPt>
            <c:idx val="8"/>
            <c:marker>
              <c:symbol val="none"/>
            </c:marker>
            <c:bubble3D val="0"/>
            <c:spPr>
              <a:ln w="12700" cap="rnd">
                <a:solidFill>
                  <a:schemeClr val="accent4"/>
                </a:solidFill>
                <a:prstDash val="dash"/>
                <a:round/>
              </a:ln>
              <a:effectLst/>
            </c:spPr>
            <c:extLst>
              <c:ext xmlns:c16="http://schemas.microsoft.com/office/drawing/2014/chart" uri="{C3380CC4-5D6E-409C-BE32-E72D297353CC}">
                <c16:uniqueId val="{00000006-B3D5-4B31-8367-7B261A49284B}"/>
              </c:ext>
            </c:extLst>
          </c:dPt>
          <c:dPt>
            <c:idx val="9"/>
            <c:marker>
              <c:symbol val="none"/>
            </c:marker>
            <c:bubble3D val="0"/>
            <c:spPr>
              <a:ln w="12700" cap="rnd">
                <a:solidFill>
                  <a:schemeClr val="accent4"/>
                </a:solidFill>
                <a:prstDash val="dash"/>
                <a:round/>
              </a:ln>
              <a:effectLst/>
            </c:spPr>
            <c:extLst>
              <c:ext xmlns:c16="http://schemas.microsoft.com/office/drawing/2014/chart" uri="{C3380CC4-5D6E-409C-BE32-E72D297353CC}">
                <c16:uniqueId val="{00000008-B3D5-4B31-8367-7B261A49284B}"/>
              </c:ext>
            </c:extLst>
          </c:dPt>
          <c:cat>
            <c:numRef>
              <c:f>IS!$C$3:$L$3</c:f>
              <c:numCache>
                <c:formatCode>0</c:formatCode>
                <c:ptCount val="10"/>
                <c:pt idx="0" formatCode="General">
                  <c:v>2020</c:v>
                </c:pt>
                <c:pt idx="1">
                  <c:v>2021</c:v>
                </c:pt>
                <c:pt idx="2">
                  <c:v>2022</c:v>
                </c:pt>
                <c:pt idx="3">
                  <c:v>2023</c:v>
                </c:pt>
                <c:pt idx="4">
                  <c:v>2024</c:v>
                </c:pt>
                <c:pt idx="5">
                  <c:v>2025</c:v>
                </c:pt>
                <c:pt idx="6">
                  <c:v>2026</c:v>
                </c:pt>
                <c:pt idx="7">
                  <c:v>2027</c:v>
                </c:pt>
                <c:pt idx="8">
                  <c:v>2028</c:v>
                </c:pt>
                <c:pt idx="9">
                  <c:v>2029</c:v>
                </c:pt>
              </c:numCache>
            </c:numRef>
          </c:cat>
          <c:val>
            <c:numRef>
              <c:f>IS!$C$38:$L$38</c:f>
              <c:numCache>
                <c:formatCode>#,##0</c:formatCode>
                <c:ptCount val="10"/>
                <c:pt idx="0">
                  <c:v>314976</c:v>
                </c:pt>
                <c:pt idx="1">
                  <c:v>476841</c:v>
                </c:pt>
                <c:pt idx="2">
                  <c:v>627691</c:v>
                </c:pt>
                <c:pt idx="3">
                  <c:v>639341</c:v>
                </c:pt>
                <c:pt idx="4">
                  <c:v>692265</c:v>
                </c:pt>
                <c:pt idx="5">
                  <c:v>868458.27162977424</c:v>
                </c:pt>
                <c:pt idx="6">
                  <c:v>981300.67057410977</c:v>
                </c:pt>
                <c:pt idx="7">
                  <c:v>1103010.4473189744</c:v>
                </c:pt>
                <c:pt idx="8">
                  <c:v>1234491.4643047557</c:v>
                </c:pt>
                <c:pt idx="9">
                  <c:v>1376727.4835504256</c:v>
                </c:pt>
              </c:numCache>
            </c:numRef>
          </c:val>
          <c:smooth val="0"/>
          <c:extLst>
            <c:ext xmlns:c16="http://schemas.microsoft.com/office/drawing/2014/chart" uri="{C3380CC4-5D6E-409C-BE32-E72D297353CC}">
              <c16:uniqueId val="{00000002-B3D5-4B31-8367-7B261A49284B}"/>
            </c:ext>
          </c:extLst>
        </c:ser>
        <c:dLbls>
          <c:showLegendKey val="0"/>
          <c:showVal val="0"/>
          <c:showCatName val="0"/>
          <c:showSerName val="0"/>
          <c:showPercent val="0"/>
          <c:showBubbleSize val="0"/>
        </c:dLbls>
        <c:smooth val="0"/>
        <c:axId val="1373008303"/>
        <c:axId val="1373007823"/>
      </c:lineChart>
      <c:catAx>
        <c:axId val="137300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007823"/>
        <c:crosses val="autoZero"/>
        <c:auto val="1"/>
        <c:lblAlgn val="ctr"/>
        <c:lblOffset val="100"/>
        <c:tickLblSkip val="3"/>
        <c:noMultiLvlLbl val="0"/>
      </c:catAx>
      <c:valAx>
        <c:axId val="1373007823"/>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008303"/>
        <c:crosses val="autoZero"/>
        <c:crossBetween val="between"/>
        <c:majorUnit val="500000"/>
        <c:dispUnits>
          <c:builtInUnit val="millions"/>
          <c:dispUnitsLbl>
            <c:layout>
              <c:manualLayout>
                <c:xMode val="edge"/>
                <c:yMode val="edge"/>
                <c:x val="2.5746831547153026E-2"/>
                <c:y val="0.46602988376784077"/>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$bn</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a:t>COGS Breakdown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9613519794755772E-2"/>
          <c:y val="0.25922821831190396"/>
          <c:w val="0.92325997393368564"/>
          <c:h val="0.67560339546309123"/>
        </c:manualLayout>
      </c:layout>
      <c:lineChart>
        <c:grouping val="standard"/>
        <c:varyColors val="0"/>
        <c:ser>
          <c:idx val="0"/>
          <c:order val="0"/>
          <c:tx>
            <c:strRef>
              <c:f>'Charts (Hidden)'!$B$26</c:f>
              <c:strCache>
                <c:ptCount val="1"/>
                <c:pt idx="0">
                  <c:v>Salaries, wages and employees’ benefits</c:v>
                </c:pt>
              </c:strCache>
            </c:strRef>
          </c:tx>
          <c:spPr>
            <a:ln w="12700" cap="rnd">
              <a:solidFill>
                <a:schemeClr val="accent1"/>
              </a:solidFill>
              <a:round/>
            </a:ln>
            <a:effectLst/>
          </c:spPr>
          <c:marker>
            <c:symbol val="none"/>
          </c:marker>
          <c:dPt>
            <c:idx val="5"/>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4-F5B5-44A8-8DF2-A82478E3A2A6}"/>
              </c:ext>
            </c:extLst>
          </c:dPt>
          <c:dPt>
            <c:idx val="6"/>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5-F5B5-44A8-8DF2-A82478E3A2A6}"/>
              </c:ext>
            </c:extLst>
          </c:dPt>
          <c:dPt>
            <c:idx val="7"/>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6-F5B5-44A8-8DF2-A82478E3A2A6}"/>
              </c:ext>
            </c:extLst>
          </c:dPt>
          <c:dPt>
            <c:idx val="8"/>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7-F5B5-44A8-8DF2-A82478E3A2A6}"/>
              </c:ext>
            </c:extLst>
          </c:dPt>
          <c:dPt>
            <c:idx val="9"/>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8-F5B5-44A8-8DF2-A82478E3A2A6}"/>
              </c:ext>
            </c:extLst>
          </c:dPt>
          <c:cat>
            <c:numRef>
              <c:f>'Charts (Hidden)'!$C$25:$L$25</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'Charts (Hidden)'!$C$26:$L$26</c:f>
              <c:numCache>
                <c:formatCode>#,##0</c:formatCode>
                <c:ptCount val="10"/>
                <c:pt idx="0">
                  <c:v>963260</c:v>
                </c:pt>
                <c:pt idx="1">
                  <c:v>1063703</c:v>
                </c:pt>
                <c:pt idx="2">
                  <c:v>1169539</c:v>
                </c:pt>
                <c:pt idx="3">
                  <c:v>1301280</c:v>
                </c:pt>
                <c:pt idx="4">
                  <c:v>1487847</c:v>
                </c:pt>
                <c:pt idx="5">
                  <c:v>1593251.8520721712</c:v>
                </c:pt>
                <c:pt idx="6">
                  <c:v>1741187.9729269654</c:v>
                </c:pt>
                <c:pt idx="7">
                  <c:v>1902860.2120389582</c:v>
                </c:pt>
                <c:pt idx="8">
                  <c:v>2079543.9911488683</c:v>
                </c:pt>
                <c:pt idx="9">
                  <c:v>2272633.1570565342</c:v>
                </c:pt>
              </c:numCache>
            </c:numRef>
          </c:val>
          <c:smooth val="0"/>
          <c:extLst>
            <c:ext xmlns:c16="http://schemas.microsoft.com/office/drawing/2014/chart" uri="{C3380CC4-5D6E-409C-BE32-E72D297353CC}">
              <c16:uniqueId val="{00000000-F5B5-44A8-8DF2-A82478E3A2A6}"/>
            </c:ext>
          </c:extLst>
        </c:ser>
        <c:ser>
          <c:idx val="1"/>
          <c:order val="1"/>
          <c:tx>
            <c:strRef>
              <c:f>'Charts (Hidden)'!$B$27</c:f>
              <c:strCache>
                <c:ptCount val="1"/>
                <c:pt idx="0">
                  <c:v>Purchased transportation</c:v>
                </c:pt>
              </c:strCache>
            </c:strRef>
          </c:tx>
          <c:spPr>
            <a:ln w="12700" cap="rnd">
              <a:solidFill>
                <a:schemeClr val="accent2"/>
              </a:solidFill>
              <a:round/>
            </a:ln>
            <a:effectLst/>
          </c:spPr>
          <c:marker>
            <c:symbol val="none"/>
          </c:marker>
          <c:dPt>
            <c:idx val="5"/>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13-F5B5-44A8-8DF2-A82478E3A2A6}"/>
              </c:ext>
            </c:extLst>
          </c:dPt>
          <c:dPt>
            <c:idx val="6"/>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14-F5B5-44A8-8DF2-A82478E3A2A6}"/>
              </c:ext>
            </c:extLst>
          </c:dPt>
          <c:dPt>
            <c:idx val="7"/>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17-F5B5-44A8-8DF2-A82478E3A2A6}"/>
              </c:ext>
            </c:extLst>
          </c:dPt>
          <c:dPt>
            <c:idx val="8"/>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15-F5B5-44A8-8DF2-A82478E3A2A6}"/>
              </c:ext>
            </c:extLst>
          </c:dPt>
          <c:dPt>
            <c:idx val="9"/>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16-F5B5-44A8-8DF2-A82478E3A2A6}"/>
              </c:ext>
            </c:extLst>
          </c:dPt>
          <c:cat>
            <c:numRef>
              <c:f>'Charts (Hidden)'!$C$25:$L$25</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'Charts (Hidden)'!$C$27:$L$27</c:f>
              <c:numCache>
                <c:formatCode>#,##0</c:formatCode>
                <c:ptCount val="10"/>
                <c:pt idx="0">
                  <c:v>141369</c:v>
                </c:pt>
                <c:pt idx="1">
                  <c:v>249710</c:v>
                </c:pt>
                <c:pt idx="2">
                  <c:v>315896</c:v>
                </c:pt>
                <c:pt idx="3">
                  <c:v>238688</c:v>
                </c:pt>
                <c:pt idx="4">
                  <c:v>237306</c:v>
                </c:pt>
                <c:pt idx="5">
                  <c:v>225440.69999999998</c:v>
                </c:pt>
                <c:pt idx="6">
                  <c:v>214168.66499999998</c:v>
                </c:pt>
                <c:pt idx="7">
                  <c:v>203460</c:v>
                </c:pt>
                <c:pt idx="8">
                  <c:v>193287.22016249996</c:v>
                </c:pt>
                <c:pt idx="9">
                  <c:v>183622.85915437495</c:v>
                </c:pt>
              </c:numCache>
            </c:numRef>
          </c:val>
          <c:smooth val="0"/>
          <c:extLst>
            <c:ext xmlns:c16="http://schemas.microsoft.com/office/drawing/2014/chart" uri="{C3380CC4-5D6E-409C-BE32-E72D297353CC}">
              <c16:uniqueId val="{00000001-F5B5-44A8-8DF2-A82478E3A2A6}"/>
            </c:ext>
          </c:extLst>
        </c:ser>
        <c:ser>
          <c:idx val="2"/>
          <c:order val="2"/>
          <c:tx>
            <c:strRef>
              <c:f>'Charts (Hidden)'!$B$28</c:f>
              <c:strCache>
                <c:ptCount val="1"/>
                <c:pt idx="0">
                  <c:v>Fuel, operating expenses and supplies</c:v>
                </c:pt>
              </c:strCache>
            </c:strRef>
          </c:tx>
          <c:spPr>
            <a:ln w="12700" cap="rnd">
              <a:solidFill>
                <a:schemeClr val="accent3"/>
              </a:solidFill>
              <a:round/>
            </a:ln>
            <a:effectLst/>
          </c:spPr>
          <c:marker>
            <c:symbol val="none"/>
          </c:marker>
          <c:dPt>
            <c:idx val="5"/>
            <c:marker>
              <c:symbol val="none"/>
            </c:marker>
            <c:bubble3D val="0"/>
            <c:spPr>
              <a:ln w="12700" cap="rnd">
                <a:solidFill>
                  <a:schemeClr val="accent3"/>
                </a:solidFill>
                <a:prstDash val="dash"/>
                <a:round/>
              </a:ln>
              <a:effectLst/>
            </c:spPr>
            <c:extLst>
              <c:ext xmlns:c16="http://schemas.microsoft.com/office/drawing/2014/chart" uri="{C3380CC4-5D6E-409C-BE32-E72D297353CC}">
                <c16:uniqueId val="{00000009-F5B5-44A8-8DF2-A82478E3A2A6}"/>
              </c:ext>
            </c:extLst>
          </c:dPt>
          <c:dPt>
            <c:idx val="6"/>
            <c:marker>
              <c:symbol val="none"/>
            </c:marker>
            <c:bubble3D val="0"/>
            <c:spPr>
              <a:ln w="12700" cap="rnd">
                <a:solidFill>
                  <a:schemeClr val="accent3"/>
                </a:solidFill>
                <a:prstDash val="dash"/>
                <a:round/>
              </a:ln>
              <a:effectLst/>
            </c:spPr>
            <c:extLst>
              <c:ext xmlns:c16="http://schemas.microsoft.com/office/drawing/2014/chart" uri="{C3380CC4-5D6E-409C-BE32-E72D297353CC}">
                <c16:uniqueId val="{0000000A-F5B5-44A8-8DF2-A82478E3A2A6}"/>
              </c:ext>
            </c:extLst>
          </c:dPt>
          <c:dPt>
            <c:idx val="7"/>
            <c:marker>
              <c:symbol val="none"/>
            </c:marker>
            <c:bubble3D val="0"/>
            <c:spPr>
              <a:ln w="12700" cap="rnd">
                <a:solidFill>
                  <a:schemeClr val="accent3"/>
                </a:solidFill>
                <a:prstDash val="dash"/>
                <a:round/>
              </a:ln>
              <a:effectLst/>
            </c:spPr>
            <c:extLst>
              <c:ext xmlns:c16="http://schemas.microsoft.com/office/drawing/2014/chart" uri="{C3380CC4-5D6E-409C-BE32-E72D297353CC}">
                <c16:uniqueId val="{0000000B-F5B5-44A8-8DF2-A82478E3A2A6}"/>
              </c:ext>
            </c:extLst>
          </c:dPt>
          <c:dPt>
            <c:idx val="8"/>
            <c:marker>
              <c:symbol val="none"/>
            </c:marker>
            <c:bubble3D val="0"/>
            <c:spPr>
              <a:ln w="12700" cap="rnd">
                <a:solidFill>
                  <a:schemeClr val="accent3"/>
                </a:solidFill>
                <a:prstDash val="dash"/>
                <a:round/>
              </a:ln>
              <a:effectLst/>
            </c:spPr>
            <c:extLst>
              <c:ext xmlns:c16="http://schemas.microsoft.com/office/drawing/2014/chart" uri="{C3380CC4-5D6E-409C-BE32-E72D297353CC}">
                <c16:uniqueId val="{0000000C-F5B5-44A8-8DF2-A82478E3A2A6}"/>
              </c:ext>
            </c:extLst>
          </c:dPt>
          <c:dPt>
            <c:idx val="9"/>
            <c:marker>
              <c:symbol val="none"/>
            </c:marker>
            <c:bubble3D val="0"/>
            <c:spPr>
              <a:ln w="12700" cap="rnd">
                <a:solidFill>
                  <a:schemeClr val="accent3"/>
                </a:solidFill>
                <a:prstDash val="dash"/>
                <a:round/>
              </a:ln>
              <a:effectLst/>
            </c:spPr>
            <c:extLst>
              <c:ext xmlns:c16="http://schemas.microsoft.com/office/drawing/2014/chart" uri="{C3380CC4-5D6E-409C-BE32-E72D297353CC}">
                <c16:uniqueId val="{0000000D-F5B5-44A8-8DF2-A82478E3A2A6}"/>
              </c:ext>
            </c:extLst>
          </c:dPt>
          <c:cat>
            <c:numRef>
              <c:f>'Charts (Hidden)'!$C$25:$L$25</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'Charts (Hidden)'!$C$28:$L$28</c:f>
              <c:numCache>
                <c:formatCode>#,##0</c:formatCode>
                <c:ptCount val="10"/>
                <c:pt idx="0">
                  <c:v>299234</c:v>
                </c:pt>
                <c:pt idx="1">
                  <c:v>381904</c:v>
                </c:pt>
                <c:pt idx="2">
                  <c:v>558456</c:v>
                </c:pt>
                <c:pt idx="3">
                  <c:v>563688</c:v>
                </c:pt>
                <c:pt idx="4">
                  <c:v>629402</c:v>
                </c:pt>
                <c:pt idx="5">
                  <c:v>644907.76686268847</c:v>
                </c:pt>
                <c:pt idx="6">
                  <c:v>704788.54039809096</c:v>
                </c:pt>
                <c:pt idx="7">
                  <c:v>770229.34472152626</c:v>
                </c:pt>
                <c:pt idx="8">
                  <c:v>841746.43806645914</c:v>
                </c:pt>
                <c:pt idx="9">
                  <c:v>919904.01411379664</c:v>
                </c:pt>
              </c:numCache>
            </c:numRef>
          </c:val>
          <c:smooth val="0"/>
          <c:extLst>
            <c:ext xmlns:c16="http://schemas.microsoft.com/office/drawing/2014/chart" uri="{C3380CC4-5D6E-409C-BE32-E72D297353CC}">
              <c16:uniqueId val="{00000002-F5B5-44A8-8DF2-A82478E3A2A6}"/>
            </c:ext>
          </c:extLst>
        </c:ser>
        <c:ser>
          <c:idx val="3"/>
          <c:order val="3"/>
          <c:tx>
            <c:strRef>
              <c:f>'Charts (Hidden)'!$B$29</c:f>
              <c:strCache>
                <c:ptCount val="1"/>
                <c:pt idx="0">
                  <c:v>Operating taxes &amp; licenses, claims, and insurance</c:v>
                </c:pt>
              </c:strCache>
            </c:strRef>
          </c:tx>
          <c:spPr>
            <a:ln w="12700" cap="rnd">
              <a:solidFill>
                <a:schemeClr val="accent4"/>
              </a:solidFill>
              <a:round/>
            </a:ln>
            <a:effectLst/>
          </c:spPr>
          <c:marker>
            <c:symbol val="none"/>
          </c:marker>
          <c:dPt>
            <c:idx val="5"/>
            <c:marker>
              <c:symbol val="none"/>
            </c:marker>
            <c:bubble3D val="0"/>
            <c:spPr>
              <a:ln w="12700" cap="rnd">
                <a:solidFill>
                  <a:schemeClr val="accent4"/>
                </a:solidFill>
                <a:prstDash val="dash"/>
                <a:round/>
              </a:ln>
              <a:effectLst/>
            </c:spPr>
            <c:extLst>
              <c:ext xmlns:c16="http://schemas.microsoft.com/office/drawing/2014/chart" uri="{C3380CC4-5D6E-409C-BE32-E72D297353CC}">
                <c16:uniqueId val="{0000000E-F5B5-44A8-8DF2-A82478E3A2A6}"/>
              </c:ext>
            </c:extLst>
          </c:dPt>
          <c:dPt>
            <c:idx val="6"/>
            <c:marker>
              <c:symbol val="none"/>
            </c:marker>
            <c:bubble3D val="0"/>
            <c:spPr>
              <a:ln w="12700" cap="rnd">
                <a:solidFill>
                  <a:schemeClr val="accent4"/>
                </a:solidFill>
                <a:prstDash val="dash"/>
                <a:round/>
              </a:ln>
              <a:effectLst/>
            </c:spPr>
            <c:extLst>
              <c:ext xmlns:c16="http://schemas.microsoft.com/office/drawing/2014/chart" uri="{C3380CC4-5D6E-409C-BE32-E72D297353CC}">
                <c16:uniqueId val="{0000000F-F5B5-44A8-8DF2-A82478E3A2A6}"/>
              </c:ext>
            </c:extLst>
          </c:dPt>
          <c:dPt>
            <c:idx val="7"/>
            <c:marker>
              <c:symbol val="none"/>
            </c:marker>
            <c:bubble3D val="0"/>
            <c:spPr>
              <a:ln w="12700" cap="rnd">
                <a:solidFill>
                  <a:schemeClr val="accent4"/>
                </a:solidFill>
                <a:prstDash val="dash"/>
                <a:round/>
              </a:ln>
              <a:effectLst/>
            </c:spPr>
            <c:extLst>
              <c:ext xmlns:c16="http://schemas.microsoft.com/office/drawing/2014/chart" uri="{C3380CC4-5D6E-409C-BE32-E72D297353CC}">
                <c16:uniqueId val="{00000010-F5B5-44A8-8DF2-A82478E3A2A6}"/>
              </c:ext>
            </c:extLst>
          </c:dPt>
          <c:dPt>
            <c:idx val="8"/>
            <c:marker>
              <c:symbol val="none"/>
            </c:marker>
            <c:bubble3D val="0"/>
            <c:spPr>
              <a:ln w="12700" cap="rnd">
                <a:solidFill>
                  <a:schemeClr val="accent4"/>
                </a:solidFill>
                <a:prstDash val="dash"/>
                <a:round/>
              </a:ln>
              <a:effectLst/>
            </c:spPr>
            <c:extLst>
              <c:ext xmlns:c16="http://schemas.microsoft.com/office/drawing/2014/chart" uri="{C3380CC4-5D6E-409C-BE32-E72D297353CC}">
                <c16:uniqueId val="{00000011-F5B5-44A8-8DF2-A82478E3A2A6}"/>
              </c:ext>
            </c:extLst>
          </c:dPt>
          <c:dPt>
            <c:idx val="9"/>
            <c:marker>
              <c:symbol val="none"/>
            </c:marker>
            <c:bubble3D val="0"/>
            <c:spPr>
              <a:ln w="12700" cap="rnd">
                <a:solidFill>
                  <a:schemeClr val="accent4"/>
                </a:solidFill>
                <a:prstDash val="dash"/>
                <a:round/>
              </a:ln>
              <a:effectLst/>
            </c:spPr>
            <c:extLst>
              <c:ext xmlns:c16="http://schemas.microsoft.com/office/drawing/2014/chart" uri="{C3380CC4-5D6E-409C-BE32-E72D297353CC}">
                <c16:uniqueId val="{00000012-F5B5-44A8-8DF2-A82478E3A2A6}"/>
              </c:ext>
            </c:extLst>
          </c:dPt>
          <c:cat>
            <c:numRef>
              <c:f>'Charts (Hidden)'!$C$25:$L$25</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'Charts (Hidden)'!$C$29:$L$29</c:f>
              <c:numCache>
                <c:formatCode>#,##0</c:formatCode>
                <c:ptCount val="10"/>
                <c:pt idx="0">
                  <c:v>106055</c:v>
                </c:pt>
                <c:pt idx="1">
                  <c:v>120440</c:v>
                </c:pt>
                <c:pt idx="2">
                  <c:v>120425</c:v>
                </c:pt>
                <c:pt idx="3">
                  <c:v>137526</c:v>
                </c:pt>
                <c:pt idx="4">
                  <c:v>157777</c:v>
                </c:pt>
                <c:pt idx="5">
                  <c:v>174983.34117104055</c:v>
                </c:pt>
                <c:pt idx="6">
                  <c:v>191230.83943905582</c:v>
                </c:pt>
                <c:pt idx="7">
                  <c:v>208986.94531624415</c:v>
                </c:pt>
                <c:pt idx="8">
                  <c:v>228391.73556278815</c:v>
                </c:pt>
                <c:pt idx="9">
                  <c:v>249598.29330223729</c:v>
                </c:pt>
              </c:numCache>
            </c:numRef>
          </c:val>
          <c:smooth val="0"/>
          <c:extLst>
            <c:ext xmlns:c16="http://schemas.microsoft.com/office/drawing/2014/chart" uri="{C3380CC4-5D6E-409C-BE32-E72D297353CC}">
              <c16:uniqueId val="{00000003-F5B5-44A8-8DF2-A82478E3A2A6}"/>
            </c:ext>
          </c:extLst>
        </c:ser>
        <c:ser>
          <c:idx val="4"/>
          <c:order val="4"/>
          <c:tx>
            <c:v>Revenue</c:v>
          </c:tx>
          <c:spPr>
            <a:ln w="12700" cap="rnd">
              <a:solidFill>
                <a:schemeClr val="accent5"/>
              </a:solidFill>
              <a:round/>
            </a:ln>
            <a:effectLst/>
          </c:spPr>
          <c:marker>
            <c:symbol val="none"/>
          </c:marker>
          <c:dPt>
            <c:idx val="5"/>
            <c:marker>
              <c:symbol val="none"/>
            </c:marker>
            <c:bubble3D val="0"/>
            <c:spPr>
              <a:ln w="12700" cap="rnd">
                <a:solidFill>
                  <a:schemeClr val="accent5"/>
                </a:solidFill>
                <a:prstDash val="dash"/>
                <a:round/>
              </a:ln>
              <a:effectLst/>
            </c:spPr>
            <c:extLst>
              <c:ext xmlns:c16="http://schemas.microsoft.com/office/drawing/2014/chart" uri="{C3380CC4-5D6E-409C-BE32-E72D297353CC}">
                <c16:uniqueId val="{00000019-F5B5-44A8-8DF2-A82478E3A2A6}"/>
              </c:ext>
            </c:extLst>
          </c:dPt>
          <c:dPt>
            <c:idx val="6"/>
            <c:marker>
              <c:symbol val="none"/>
            </c:marker>
            <c:bubble3D val="0"/>
            <c:spPr>
              <a:ln w="12700" cap="rnd">
                <a:solidFill>
                  <a:schemeClr val="accent5"/>
                </a:solidFill>
                <a:prstDash val="dash"/>
                <a:round/>
              </a:ln>
              <a:effectLst/>
            </c:spPr>
            <c:extLst>
              <c:ext xmlns:c16="http://schemas.microsoft.com/office/drawing/2014/chart" uri="{C3380CC4-5D6E-409C-BE32-E72D297353CC}">
                <c16:uniqueId val="{0000001A-F5B5-44A8-8DF2-A82478E3A2A6}"/>
              </c:ext>
            </c:extLst>
          </c:dPt>
          <c:dPt>
            <c:idx val="7"/>
            <c:marker>
              <c:symbol val="none"/>
            </c:marker>
            <c:bubble3D val="0"/>
            <c:spPr>
              <a:ln w="12700" cap="rnd">
                <a:solidFill>
                  <a:schemeClr val="accent5"/>
                </a:solidFill>
                <a:prstDash val="dash"/>
                <a:round/>
              </a:ln>
              <a:effectLst/>
            </c:spPr>
            <c:extLst>
              <c:ext xmlns:c16="http://schemas.microsoft.com/office/drawing/2014/chart" uri="{C3380CC4-5D6E-409C-BE32-E72D297353CC}">
                <c16:uniqueId val="{0000001B-F5B5-44A8-8DF2-A82478E3A2A6}"/>
              </c:ext>
            </c:extLst>
          </c:dPt>
          <c:dPt>
            <c:idx val="8"/>
            <c:marker>
              <c:symbol val="none"/>
            </c:marker>
            <c:bubble3D val="0"/>
            <c:spPr>
              <a:ln w="12700" cap="rnd">
                <a:solidFill>
                  <a:schemeClr val="accent5"/>
                </a:solidFill>
                <a:prstDash val="dash"/>
                <a:round/>
              </a:ln>
              <a:effectLst/>
            </c:spPr>
            <c:extLst>
              <c:ext xmlns:c16="http://schemas.microsoft.com/office/drawing/2014/chart" uri="{C3380CC4-5D6E-409C-BE32-E72D297353CC}">
                <c16:uniqueId val="{0000001C-F5B5-44A8-8DF2-A82478E3A2A6}"/>
              </c:ext>
            </c:extLst>
          </c:dPt>
          <c:dPt>
            <c:idx val="9"/>
            <c:marker>
              <c:symbol val="none"/>
            </c:marker>
            <c:bubble3D val="0"/>
            <c:spPr>
              <a:ln w="12700" cap="rnd">
                <a:solidFill>
                  <a:schemeClr val="accent5"/>
                </a:solidFill>
                <a:prstDash val="dash"/>
                <a:round/>
              </a:ln>
              <a:effectLst/>
            </c:spPr>
            <c:extLst>
              <c:ext xmlns:c16="http://schemas.microsoft.com/office/drawing/2014/chart" uri="{C3380CC4-5D6E-409C-BE32-E72D297353CC}">
                <c16:uniqueId val="{0000001D-F5B5-44A8-8DF2-A82478E3A2A6}"/>
              </c:ext>
            </c:extLst>
          </c:dPt>
          <c:val>
            <c:numRef>
              <c:f>IS!$C$5:$L$5</c:f>
              <c:numCache>
                <c:formatCode>#,##0</c:formatCode>
                <c:ptCount val="10"/>
                <c:pt idx="0">
                  <c:v>1822366</c:v>
                </c:pt>
                <c:pt idx="1">
                  <c:v>2288704</c:v>
                </c:pt>
                <c:pt idx="2">
                  <c:v>2792057</c:v>
                </c:pt>
                <c:pt idx="3">
                  <c:v>2881433</c:v>
                </c:pt>
                <c:pt idx="4">
                  <c:v>3209074</c:v>
                </c:pt>
                <c:pt idx="5">
                  <c:v>3507041.9317356744</c:v>
                </c:pt>
                <c:pt idx="6">
                  <c:v>3832676.688338222</c:v>
                </c:pt>
                <c:pt idx="7">
                  <c:v>4188547.181145703</c:v>
                </c:pt>
                <c:pt idx="8">
                  <c:v>4577460.8492453713</c:v>
                </c:pt>
                <c:pt idx="9">
                  <c:v>5002485.8071773686</c:v>
                </c:pt>
              </c:numCache>
            </c:numRef>
          </c:val>
          <c:smooth val="0"/>
          <c:extLst>
            <c:ext xmlns:c16="http://schemas.microsoft.com/office/drawing/2014/chart" uri="{C3380CC4-5D6E-409C-BE32-E72D297353CC}">
              <c16:uniqueId val="{00000018-F5B5-44A8-8DF2-A82478E3A2A6}"/>
            </c:ext>
          </c:extLst>
        </c:ser>
        <c:dLbls>
          <c:showLegendKey val="0"/>
          <c:showVal val="0"/>
          <c:showCatName val="0"/>
          <c:showSerName val="0"/>
          <c:showPercent val="0"/>
          <c:showBubbleSize val="0"/>
        </c:dLbls>
        <c:smooth val="0"/>
        <c:axId val="1787595391"/>
        <c:axId val="1787596351"/>
      </c:lineChart>
      <c:catAx>
        <c:axId val="178759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596351"/>
        <c:crosses val="autoZero"/>
        <c:auto val="1"/>
        <c:lblAlgn val="ctr"/>
        <c:lblOffset val="100"/>
        <c:noMultiLvlLbl val="0"/>
      </c:catAx>
      <c:valAx>
        <c:axId val="1787596351"/>
        <c:scaling>
          <c:orientation val="minMax"/>
          <c:max val="50000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595391"/>
        <c:crosses val="autoZero"/>
        <c:crossBetween val="between"/>
        <c:majorUnit val="1000000"/>
        <c:dispUnits>
          <c:builtInUnit val="millions"/>
          <c:dispUnitsLbl>
            <c:layout>
              <c:manualLayout>
                <c:xMode val="edge"/>
                <c:yMode val="edge"/>
                <c:x val="6.5831487978237251E-3"/>
                <c:y val="0.56215125280863254"/>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$bn</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Trailing/Forward P/E</c:v>
          </c:tx>
          <c:spPr>
            <a:ln w="12700" cap="rnd">
              <a:solidFill>
                <a:schemeClr val="accent1"/>
              </a:solidFill>
              <a:round/>
            </a:ln>
            <a:effectLst/>
          </c:spPr>
          <c:marker>
            <c:symbol val="none"/>
          </c:marker>
          <c:dPt>
            <c:idx val="5"/>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2-1B70-4311-A0A3-F7FAA7249CB6}"/>
              </c:ext>
            </c:extLst>
          </c:dPt>
          <c:dPt>
            <c:idx val="6"/>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4-1B70-4311-A0A3-F7FAA7249CB6}"/>
              </c:ext>
            </c:extLst>
          </c:dPt>
          <c:dPt>
            <c:idx val="7"/>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3-1B70-4311-A0A3-F7FAA7249CB6}"/>
              </c:ext>
            </c:extLst>
          </c:dPt>
          <c:dPt>
            <c:idx val="8"/>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5-1B70-4311-A0A3-F7FAA7249CB6}"/>
              </c:ext>
            </c:extLst>
          </c:dPt>
          <c:dPt>
            <c:idx val="9"/>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6-1B70-4311-A0A3-F7FAA7249CB6}"/>
              </c:ext>
            </c:extLst>
          </c:dPt>
          <c:cat>
            <c:numRef>
              <c:f>IS!$C$3:$L$3</c:f>
              <c:numCache>
                <c:formatCode>0</c:formatCode>
                <c:ptCount val="10"/>
                <c:pt idx="0" formatCode="General">
                  <c:v>2020</c:v>
                </c:pt>
                <c:pt idx="1">
                  <c:v>2021</c:v>
                </c:pt>
                <c:pt idx="2">
                  <c:v>2022</c:v>
                </c:pt>
                <c:pt idx="3">
                  <c:v>2023</c:v>
                </c:pt>
                <c:pt idx="4">
                  <c:v>2024</c:v>
                </c:pt>
                <c:pt idx="5">
                  <c:v>2025</c:v>
                </c:pt>
                <c:pt idx="6">
                  <c:v>2026</c:v>
                </c:pt>
                <c:pt idx="7">
                  <c:v>2027</c:v>
                </c:pt>
                <c:pt idx="8">
                  <c:v>2028</c:v>
                </c:pt>
                <c:pt idx="9">
                  <c:v>2029</c:v>
                </c:pt>
              </c:numCache>
            </c:numRef>
          </c:cat>
          <c:val>
            <c:numRef>
              <c:f>'Charts (Hidden)'!$D$37:$M$37</c:f>
              <c:numCache>
                <c:formatCode>General</c:formatCode>
                <c:ptCount val="10"/>
                <c:pt idx="0">
                  <c:v>34.18</c:v>
                </c:pt>
                <c:pt idx="1">
                  <c:v>35.03</c:v>
                </c:pt>
                <c:pt idx="2">
                  <c:v>15.55</c:v>
                </c:pt>
                <c:pt idx="3">
                  <c:v>32.9</c:v>
                </c:pt>
                <c:pt idx="4">
                  <c:v>33.58</c:v>
                </c:pt>
                <c:pt idx="5">
                  <c:v>20.43520283879657</c:v>
                </c:pt>
                <c:pt idx="6">
                  <c:v>17.665311033361462</c:v>
                </c:pt>
                <c:pt idx="7">
                  <c:v>15.429519188073689</c:v>
                </c:pt>
                <c:pt idx="8">
                  <c:v>13.586988333842214</c:v>
                </c:pt>
                <c:pt idx="9">
                  <c:v>12.042925445829049</c:v>
                </c:pt>
              </c:numCache>
            </c:numRef>
          </c:val>
          <c:smooth val="0"/>
          <c:extLst>
            <c:ext xmlns:c16="http://schemas.microsoft.com/office/drawing/2014/chart" uri="{C3380CC4-5D6E-409C-BE32-E72D297353CC}">
              <c16:uniqueId val="{00000000-1B70-4311-A0A3-F7FAA7249CB6}"/>
            </c:ext>
          </c:extLst>
        </c:ser>
        <c:ser>
          <c:idx val="1"/>
          <c:order val="1"/>
          <c:tx>
            <c:strRef>
              <c:f>'Charts (Hidden)'!$C$38</c:f>
              <c:strCache>
                <c:ptCount val="1"/>
                <c:pt idx="0">
                  <c:v>PEG Ratio</c:v>
                </c:pt>
              </c:strCache>
            </c:strRef>
          </c:tx>
          <c:spPr>
            <a:ln w="12700" cap="rnd">
              <a:solidFill>
                <a:schemeClr val="accent2"/>
              </a:solidFill>
              <a:round/>
            </a:ln>
            <a:effectLst/>
          </c:spPr>
          <c:marker>
            <c:symbol val="none"/>
          </c:marker>
          <c:dPt>
            <c:idx val="5"/>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7-1B70-4311-A0A3-F7FAA7249CB6}"/>
              </c:ext>
            </c:extLst>
          </c:dPt>
          <c:dPt>
            <c:idx val="6"/>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8-1B70-4311-A0A3-F7FAA7249CB6}"/>
              </c:ext>
            </c:extLst>
          </c:dPt>
          <c:dPt>
            <c:idx val="7"/>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9-1B70-4311-A0A3-F7FAA7249CB6}"/>
              </c:ext>
            </c:extLst>
          </c:dPt>
          <c:dPt>
            <c:idx val="8"/>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A-1B70-4311-A0A3-F7FAA7249CB6}"/>
              </c:ext>
            </c:extLst>
          </c:dPt>
          <c:dPt>
            <c:idx val="9"/>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B-1B70-4311-A0A3-F7FAA7249CB6}"/>
              </c:ext>
            </c:extLst>
          </c:dPt>
          <c:cat>
            <c:numRef>
              <c:f>IS!$C$3:$L$3</c:f>
              <c:numCache>
                <c:formatCode>0</c:formatCode>
                <c:ptCount val="10"/>
                <c:pt idx="0" formatCode="General">
                  <c:v>2020</c:v>
                </c:pt>
                <c:pt idx="1">
                  <c:v>2021</c:v>
                </c:pt>
                <c:pt idx="2">
                  <c:v>2022</c:v>
                </c:pt>
                <c:pt idx="3">
                  <c:v>2023</c:v>
                </c:pt>
                <c:pt idx="4">
                  <c:v>2024</c:v>
                </c:pt>
                <c:pt idx="5">
                  <c:v>2025</c:v>
                </c:pt>
                <c:pt idx="6">
                  <c:v>2026</c:v>
                </c:pt>
                <c:pt idx="7">
                  <c:v>2027</c:v>
                </c:pt>
                <c:pt idx="8">
                  <c:v>2028</c:v>
                </c:pt>
                <c:pt idx="9">
                  <c:v>2029</c:v>
                </c:pt>
              </c:numCache>
            </c:numRef>
          </c:cat>
          <c:val>
            <c:numRef>
              <c:f>'Charts (Hidden)'!$D$38:$M$38</c:f>
              <c:numCache>
                <c:formatCode>General</c:formatCode>
                <c:ptCount val="10"/>
                <c:pt idx="1">
                  <c:v>0.42559813084112152</c:v>
                </c:pt>
                <c:pt idx="2">
                  <c:v>0.37605612244897957</c:v>
                </c:pt>
                <c:pt idx="3">
                  <c:v>-31.489999999999842</c:v>
                </c:pt>
                <c:pt idx="4">
                  <c:v>17.810832000000062</c:v>
                </c:pt>
                <c:pt idx="5">
                  <c:v>3.5481742630811843</c:v>
                </c:pt>
                <c:pt idx="6">
                  <c:v>1.1266260050052093</c:v>
                </c:pt>
                <c:pt idx="7">
                  <c:v>1.0648131796208955</c:v>
                </c:pt>
                <c:pt idx="8">
                  <c:v>1.0019167470656238</c:v>
                </c:pt>
                <c:pt idx="9">
                  <c:v>0.93928851227308374</c:v>
                </c:pt>
              </c:numCache>
            </c:numRef>
          </c:val>
          <c:smooth val="0"/>
          <c:extLst>
            <c:ext xmlns:c16="http://schemas.microsoft.com/office/drawing/2014/chart" uri="{C3380CC4-5D6E-409C-BE32-E72D297353CC}">
              <c16:uniqueId val="{00000001-1B70-4311-A0A3-F7FAA7249CB6}"/>
            </c:ext>
          </c:extLst>
        </c:ser>
        <c:dLbls>
          <c:showLegendKey val="0"/>
          <c:showVal val="0"/>
          <c:showCatName val="0"/>
          <c:showSerName val="0"/>
          <c:showPercent val="0"/>
          <c:showBubbleSize val="0"/>
        </c:dLbls>
        <c:smooth val="0"/>
        <c:axId val="613849584"/>
        <c:axId val="613851984"/>
      </c:lineChart>
      <c:catAx>
        <c:axId val="61384958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851984"/>
        <c:crosses val="autoZero"/>
        <c:auto val="1"/>
        <c:lblAlgn val="ctr"/>
        <c:lblOffset val="100"/>
        <c:tickLblSkip val="3"/>
        <c:tickMarkSkip val="3"/>
        <c:noMultiLvlLbl val="0"/>
      </c:catAx>
      <c:valAx>
        <c:axId val="613851984"/>
        <c:scaling>
          <c:orientation val="minMax"/>
          <c:max val="35"/>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849584"/>
        <c:crosses val="autoZero"/>
        <c:crossBetween val="between"/>
        <c:majorUnit val="1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Cash Flow From Operations</c:v>
          </c:tx>
          <c:spPr>
            <a:ln w="12700" cap="rnd">
              <a:solidFill>
                <a:schemeClr val="accent1"/>
              </a:solidFill>
              <a:round/>
            </a:ln>
            <a:effectLst/>
          </c:spPr>
          <c:marker>
            <c:symbol val="none"/>
          </c:marker>
          <c:dPt>
            <c:idx val="5"/>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4-1C54-4A60-AA83-2E43728D9514}"/>
              </c:ext>
            </c:extLst>
          </c:dPt>
          <c:dPt>
            <c:idx val="6"/>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5-1C54-4A60-AA83-2E43728D9514}"/>
              </c:ext>
            </c:extLst>
          </c:dPt>
          <c:dPt>
            <c:idx val="7"/>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6-1C54-4A60-AA83-2E43728D9514}"/>
              </c:ext>
            </c:extLst>
          </c:dPt>
          <c:dPt>
            <c:idx val="8"/>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7-1C54-4A60-AA83-2E43728D9514}"/>
              </c:ext>
            </c:extLst>
          </c:dPt>
          <c:dPt>
            <c:idx val="9"/>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8-1C54-4A60-AA83-2E43728D9514}"/>
              </c:ext>
            </c:extLst>
          </c:dPt>
          <c:cat>
            <c:numRef>
              <c:f>'Charts (Hidden)'!$B$14:$K$14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CF!$C$19:$L$19</c:f>
              <c:numCache>
                <c:formatCode>#,##0</c:formatCode>
                <c:ptCount val="10"/>
                <c:pt idx="0">
                  <c:v>309145</c:v>
                </c:pt>
                <c:pt idx="1">
                  <c:v>382592</c:v>
                </c:pt>
                <c:pt idx="2">
                  <c:v>473026</c:v>
                </c:pt>
                <c:pt idx="3">
                  <c:v>577945</c:v>
                </c:pt>
                <c:pt idx="4">
                  <c:v>583702</c:v>
                </c:pt>
                <c:pt idx="5">
                  <c:v>747630.01232140046</c:v>
                </c:pt>
                <c:pt idx="6">
                  <c:v>845798.04274956137</c:v>
                </c:pt>
                <c:pt idx="7">
                  <c:v>945885.11715500813</c:v>
                </c:pt>
                <c:pt idx="8">
                  <c:v>1054068.9704629604</c:v>
                </c:pt>
                <c:pt idx="9">
                  <c:v>1171160.0230897251</c:v>
                </c:pt>
              </c:numCache>
            </c:numRef>
          </c:val>
          <c:smooth val="0"/>
          <c:extLst>
            <c:ext xmlns:c16="http://schemas.microsoft.com/office/drawing/2014/chart" uri="{C3380CC4-5D6E-409C-BE32-E72D297353CC}">
              <c16:uniqueId val="{00000000-1C54-4A60-AA83-2E43728D9514}"/>
            </c:ext>
          </c:extLst>
        </c:ser>
        <c:ser>
          <c:idx val="1"/>
          <c:order val="1"/>
          <c:tx>
            <c:v>Cash Flow From Investing</c:v>
          </c:tx>
          <c:spPr>
            <a:ln w="12700" cap="rnd">
              <a:solidFill>
                <a:schemeClr val="accent2"/>
              </a:solidFill>
              <a:round/>
            </a:ln>
            <a:effectLst/>
          </c:spPr>
          <c:marker>
            <c:symbol val="none"/>
          </c:marker>
          <c:dPt>
            <c:idx val="5"/>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13-1C54-4A60-AA83-2E43728D9514}"/>
              </c:ext>
            </c:extLst>
          </c:dPt>
          <c:dPt>
            <c:idx val="6"/>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14-1C54-4A60-AA83-2E43728D9514}"/>
              </c:ext>
            </c:extLst>
          </c:dPt>
          <c:dPt>
            <c:idx val="7"/>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16-1C54-4A60-AA83-2E43728D9514}"/>
              </c:ext>
            </c:extLst>
          </c:dPt>
          <c:dPt>
            <c:idx val="8"/>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15-1C54-4A60-AA83-2E43728D9514}"/>
              </c:ext>
            </c:extLst>
          </c:dPt>
          <c:dPt>
            <c:idx val="9"/>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17-1C54-4A60-AA83-2E43728D9514}"/>
              </c:ext>
            </c:extLst>
          </c:dPt>
          <c:cat>
            <c:numRef>
              <c:f>'Charts (Hidden)'!$B$14:$K$14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CF!$C$25:$L$25</c:f>
              <c:numCache>
                <c:formatCode>#,##0</c:formatCode>
                <c:ptCount val="10"/>
                <c:pt idx="0">
                  <c:v>-218817</c:v>
                </c:pt>
                <c:pt idx="1">
                  <c:v>-277848</c:v>
                </c:pt>
                <c:pt idx="2">
                  <c:v>-365512</c:v>
                </c:pt>
                <c:pt idx="3">
                  <c:v>-448696</c:v>
                </c:pt>
                <c:pt idx="4">
                  <c:v>-1035864</c:v>
                </c:pt>
                <c:pt idx="5">
                  <c:v>-602500</c:v>
                </c:pt>
                <c:pt idx="6">
                  <c:v>-514363.42356324074</c:v>
                </c:pt>
                <c:pt idx="7">
                  <c:v>-561890.80549655866</c:v>
                </c:pt>
                <c:pt idx="8">
                  <c:v>-613831.18497854099</c:v>
                </c:pt>
                <c:pt idx="9">
                  <c:v>-670594.31627235794</c:v>
                </c:pt>
              </c:numCache>
            </c:numRef>
          </c:val>
          <c:smooth val="0"/>
          <c:extLst>
            <c:ext xmlns:c16="http://schemas.microsoft.com/office/drawing/2014/chart" uri="{C3380CC4-5D6E-409C-BE32-E72D297353CC}">
              <c16:uniqueId val="{00000001-1C54-4A60-AA83-2E43728D9514}"/>
            </c:ext>
          </c:extLst>
        </c:ser>
        <c:ser>
          <c:idx val="2"/>
          <c:order val="2"/>
          <c:tx>
            <c:v>Cash Flow From Financing</c:v>
          </c:tx>
          <c:spPr>
            <a:ln w="12700" cap="rnd">
              <a:solidFill>
                <a:schemeClr val="accent3"/>
              </a:solidFill>
              <a:round/>
            </a:ln>
            <a:effectLst/>
          </c:spPr>
          <c:marker>
            <c:symbol val="none"/>
          </c:marker>
          <c:dPt>
            <c:idx val="5"/>
            <c:marker>
              <c:symbol val="none"/>
            </c:marker>
            <c:bubble3D val="0"/>
            <c:spPr>
              <a:ln w="12700" cap="rnd">
                <a:solidFill>
                  <a:schemeClr val="accent3"/>
                </a:solidFill>
                <a:prstDash val="dash"/>
                <a:round/>
              </a:ln>
              <a:effectLst/>
            </c:spPr>
            <c:extLst>
              <c:ext xmlns:c16="http://schemas.microsoft.com/office/drawing/2014/chart" uri="{C3380CC4-5D6E-409C-BE32-E72D297353CC}">
                <c16:uniqueId val="{0000000E-1C54-4A60-AA83-2E43728D9514}"/>
              </c:ext>
            </c:extLst>
          </c:dPt>
          <c:dPt>
            <c:idx val="6"/>
            <c:marker>
              <c:symbol val="none"/>
            </c:marker>
            <c:bubble3D val="0"/>
            <c:spPr>
              <a:ln w="12700" cap="rnd">
                <a:solidFill>
                  <a:schemeClr val="accent3"/>
                </a:solidFill>
                <a:prstDash val="dash"/>
                <a:round/>
              </a:ln>
              <a:effectLst/>
            </c:spPr>
            <c:extLst>
              <c:ext xmlns:c16="http://schemas.microsoft.com/office/drawing/2014/chart" uri="{C3380CC4-5D6E-409C-BE32-E72D297353CC}">
                <c16:uniqueId val="{00000010-1C54-4A60-AA83-2E43728D9514}"/>
              </c:ext>
            </c:extLst>
          </c:dPt>
          <c:dPt>
            <c:idx val="7"/>
            <c:marker>
              <c:symbol val="none"/>
            </c:marker>
            <c:bubble3D val="0"/>
            <c:spPr>
              <a:ln w="12700" cap="rnd">
                <a:solidFill>
                  <a:schemeClr val="accent3"/>
                </a:solidFill>
                <a:prstDash val="dash"/>
                <a:round/>
              </a:ln>
              <a:effectLst/>
            </c:spPr>
            <c:extLst>
              <c:ext xmlns:c16="http://schemas.microsoft.com/office/drawing/2014/chart" uri="{C3380CC4-5D6E-409C-BE32-E72D297353CC}">
                <c16:uniqueId val="{0000000F-1C54-4A60-AA83-2E43728D9514}"/>
              </c:ext>
            </c:extLst>
          </c:dPt>
          <c:dPt>
            <c:idx val="8"/>
            <c:marker>
              <c:symbol val="none"/>
            </c:marker>
            <c:bubble3D val="0"/>
            <c:spPr>
              <a:ln w="12700" cap="rnd">
                <a:solidFill>
                  <a:schemeClr val="accent3"/>
                </a:solidFill>
                <a:prstDash val="dash"/>
                <a:round/>
              </a:ln>
              <a:effectLst/>
            </c:spPr>
            <c:extLst>
              <c:ext xmlns:c16="http://schemas.microsoft.com/office/drawing/2014/chart" uri="{C3380CC4-5D6E-409C-BE32-E72D297353CC}">
                <c16:uniqueId val="{00000011-1C54-4A60-AA83-2E43728D9514}"/>
              </c:ext>
            </c:extLst>
          </c:dPt>
          <c:dPt>
            <c:idx val="9"/>
            <c:marker>
              <c:symbol val="none"/>
            </c:marker>
            <c:bubble3D val="0"/>
            <c:spPr>
              <a:ln w="12700" cap="rnd">
                <a:solidFill>
                  <a:schemeClr val="accent3"/>
                </a:solidFill>
                <a:prstDash val="dash"/>
                <a:round/>
              </a:ln>
              <a:effectLst/>
            </c:spPr>
            <c:extLst>
              <c:ext xmlns:c16="http://schemas.microsoft.com/office/drawing/2014/chart" uri="{C3380CC4-5D6E-409C-BE32-E72D297353CC}">
                <c16:uniqueId val="{00000012-1C54-4A60-AA83-2E43728D9514}"/>
              </c:ext>
            </c:extLst>
          </c:dPt>
          <c:cat>
            <c:numRef>
              <c:f>'Charts (Hidden)'!$B$14:$K$14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CF!$C$35:$L$35</c:f>
              <c:numCache>
                <c:formatCode>#,##0</c:formatCode>
                <c:ptCount val="10"/>
                <c:pt idx="0">
                  <c:v>-65268</c:v>
                </c:pt>
                <c:pt idx="1">
                  <c:v>-23464</c:v>
                </c:pt>
                <c:pt idx="2">
                  <c:v>-26712</c:v>
                </c:pt>
                <c:pt idx="3">
                  <c:v>-20424</c:v>
                </c:pt>
                <c:pt idx="4">
                  <c:v>175420</c:v>
                </c:pt>
                <c:pt idx="5">
                  <c:v>-136712.54547132362</c:v>
                </c:pt>
                <c:pt idx="6">
                  <c:v>-149406.53583004072</c:v>
                </c:pt>
                <c:pt idx="7">
                  <c:v>-163279.18459696512</c:v>
                </c:pt>
                <c:pt idx="8">
                  <c:v>-178439.93219264073</c:v>
                </c:pt>
                <c:pt idx="9">
                  <c:v>-195008.38076518691</c:v>
                </c:pt>
              </c:numCache>
            </c:numRef>
          </c:val>
          <c:smooth val="0"/>
          <c:extLst>
            <c:ext xmlns:c16="http://schemas.microsoft.com/office/drawing/2014/chart" uri="{C3380CC4-5D6E-409C-BE32-E72D297353CC}">
              <c16:uniqueId val="{00000002-1C54-4A60-AA83-2E43728D9514}"/>
            </c:ext>
          </c:extLst>
        </c:ser>
        <c:ser>
          <c:idx val="3"/>
          <c:order val="3"/>
          <c:tx>
            <c:v>Net Cash Flow</c:v>
          </c:tx>
          <c:spPr>
            <a:ln w="25400" cap="rnd">
              <a:solidFill>
                <a:schemeClr val="accent4"/>
              </a:solidFill>
              <a:round/>
            </a:ln>
            <a:effectLst/>
          </c:spPr>
          <c:marker>
            <c:symbol val="none"/>
          </c:marker>
          <c:dPt>
            <c:idx val="5"/>
            <c:marker>
              <c:symbol val="none"/>
            </c:marker>
            <c:bubble3D val="0"/>
            <c:spPr>
              <a:ln w="25400" cap="rnd">
                <a:solidFill>
                  <a:schemeClr val="accent4"/>
                </a:solidFill>
                <a:prstDash val="dash"/>
                <a:round/>
              </a:ln>
              <a:effectLst/>
            </c:spPr>
            <c:extLst>
              <c:ext xmlns:c16="http://schemas.microsoft.com/office/drawing/2014/chart" uri="{C3380CC4-5D6E-409C-BE32-E72D297353CC}">
                <c16:uniqueId val="{00000009-1C54-4A60-AA83-2E43728D9514}"/>
              </c:ext>
            </c:extLst>
          </c:dPt>
          <c:dPt>
            <c:idx val="6"/>
            <c:marker>
              <c:symbol val="none"/>
            </c:marker>
            <c:bubble3D val="0"/>
            <c:spPr>
              <a:ln w="25400" cap="rnd">
                <a:solidFill>
                  <a:schemeClr val="accent4"/>
                </a:solidFill>
                <a:prstDash val="dash"/>
                <a:round/>
              </a:ln>
              <a:effectLst/>
            </c:spPr>
            <c:extLst>
              <c:ext xmlns:c16="http://schemas.microsoft.com/office/drawing/2014/chart" uri="{C3380CC4-5D6E-409C-BE32-E72D297353CC}">
                <c16:uniqueId val="{0000000B-1C54-4A60-AA83-2E43728D9514}"/>
              </c:ext>
            </c:extLst>
          </c:dPt>
          <c:dPt>
            <c:idx val="7"/>
            <c:marker>
              <c:symbol val="none"/>
            </c:marker>
            <c:bubble3D val="0"/>
            <c:spPr>
              <a:ln w="25400" cap="rnd">
                <a:solidFill>
                  <a:schemeClr val="accent4"/>
                </a:solidFill>
                <a:prstDash val="dash"/>
                <a:round/>
              </a:ln>
              <a:effectLst/>
            </c:spPr>
            <c:extLst>
              <c:ext xmlns:c16="http://schemas.microsoft.com/office/drawing/2014/chart" uri="{C3380CC4-5D6E-409C-BE32-E72D297353CC}">
                <c16:uniqueId val="{0000000A-1C54-4A60-AA83-2E43728D9514}"/>
              </c:ext>
            </c:extLst>
          </c:dPt>
          <c:dPt>
            <c:idx val="8"/>
            <c:marker>
              <c:symbol val="none"/>
            </c:marker>
            <c:bubble3D val="0"/>
            <c:spPr>
              <a:ln w="25400" cap="rnd">
                <a:solidFill>
                  <a:schemeClr val="accent4"/>
                </a:solidFill>
                <a:prstDash val="dash"/>
                <a:round/>
              </a:ln>
              <a:effectLst/>
            </c:spPr>
            <c:extLst>
              <c:ext xmlns:c16="http://schemas.microsoft.com/office/drawing/2014/chart" uri="{C3380CC4-5D6E-409C-BE32-E72D297353CC}">
                <c16:uniqueId val="{0000000C-1C54-4A60-AA83-2E43728D9514}"/>
              </c:ext>
            </c:extLst>
          </c:dPt>
          <c:dPt>
            <c:idx val="9"/>
            <c:marker>
              <c:symbol val="none"/>
            </c:marker>
            <c:bubble3D val="0"/>
            <c:spPr>
              <a:ln w="25400" cap="rnd">
                <a:solidFill>
                  <a:schemeClr val="accent4"/>
                </a:solidFill>
                <a:prstDash val="dash"/>
                <a:round/>
              </a:ln>
              <a:effectLst/>
            </c:spPr>
            <c:extLst>
              <c:ext xmlns:c16="http://schemas.microsoft.com/office/drawing/2014/chart" uri="{C3380CC4-5D6E-409C-BE32-E72D297353CC}">
                <c16:uniqueId val="{0000000D-1C54-4A60-AA83-2E43728D9514}"/>
              </c:ext>
            </c:extLst>
          </c:dPt>
          <c:cat>
            <c:numRef>
              <c:f>'Charts (Hidden)'!$B$14:$K$14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CF!$C$38:$L$38</c:f>
              <c:numCache>
                <c:formatCode>#,##0</c:formatCode>
                <c:ptCount val="10"/>
                <c:pt idx="0">
                  <c:v>25060</c:v>
                </c:pt>
                <c:pt idx="1">
                  <c:v>81280</c:v>
                </c:pt>
                <c:pt idx="2">
                  <c:v>80802</c:v>
                </c:pt>
                <c:pt idx="3">
                  <c:v>108825</c:v>
                </c:pt>
                <c:pt idx="4">
                  <c:v>-276742</c:v>
                </c:pt>
                <c:pt idx="5">
                  <c:v>8417.4668500768021</c:v>
                </c:pt>
                <c:pt idx="6">
                  <c:v>182028.08335627988</c:v>
                </c:pt>
                <c:pt idx="7">
                  <c:v>220715.12706148438</c:v>
                </c:pt>
                <c:pt idx="8">
                  <c:v>261797.85329177871</c:v>
                </c:pt>
                <c:pt idx="9">
                  <c:v>305557.32605218026</c:v>
                </c:pt>
              </c:numCache>
            </c:numRef>
          </c:val>
          <c:smooth val="0"/>
          <c:extLst>
            <c:ext xmlns:c16="http://schemas.microsoft.com/office/drawing/2014/chart" uri="{C3380CC4-5D6E-409C-BE32-E72D297353CC}">
              <c16:uniqueId val="{00000003-1C54-4A60-AA83-2E43728D9514}"/>
            </c:ext>
          </c:extLst>
        </c:ser>
        <c:ser>
          <c:idx val="5"/>
          <c:order val="4"/>
          <c:tx>
            <c:v>Unlevered Free Cash Flow</c:v>
          </c:tx>
          <c:spPr>
            <a:ln w="25400" cap="rnd">
              <a:solidFill>
                <a:srgbClr val="F814ED"/>
              </a:solidFill>
              <a:round/>
            </a:ln>
            <a:effectLst/>
          </c:spPr>
          <c:marker>
            <c:symbol val="none"/>
          </c:marker>
          <c:dPt>
            <c:idx val="5"/>
            <c:marker>
              <c:symbol val="none"/>
            </c:marker>
            <c:bubble3D val="0"/>
            <c:spPr>
              <a:ln w="25400" cap="rnd">
                <a:solidFill>
                  <a:srgbClr val="F814ED"/>
                </a:solidFill>
                <a:prstDash val="dash"/>
                <a:round/>
              </a:ln>
              <a:effectLst/>
            </c:spPr>
            <c:extLst>
              <c:ext xmlns:c16="http://schemas.microsoft.com/office/drawing/2014/chart" uri="{C3380CC4-5D6E-409C-BE32-E72D297353CC}">
                <c16:uniqueId val="{0000001A-1C54-4A60-AA83-2E43728D9514}"/>
              </c:ext>
            </c:extLst>
          </c:dPt>
          <c:dPt>
            <c:idx val="6"/>
            <c:marker>
              <c:symbol val="none"/>
            </c:marker>
            <c:bubble3D val="0"/>
            <c:spPr>
              <a:ln w="25400" cap="rnd">
                <a:solidFill>
                  <a:srgbClr val="F814ED"/>
                </a:solidFill>
                <a:prstDash val="dash"/>
                <a:round/>
              </a:ln>
              <a:effectLst/>
            </c:spPr>
            <c:extLst>
              <c:ext xmlns:c16="http://schemas.microsoft.com/office/drawing/2014/chart" uri="{C3380CC4-5D6E-409C-BE32-E72D297353CC}">
                <c16:uniqueId val="{0000001B-1C54-4A60-AA83-2E43728D9514}"/>
              </c:ext>
            </c:extLst>
          </c:dPt>
          <c:dPt>
            <c:idx val="7"/>
            <c:marker>
              <c:symbol val="none"/>
            </c:marker>
            <c:bubble3D val="0"/>
            <c:spPr>
              <a:ln w="25400" cap="rnd">
                <a:solidFill>
                  <a:srgbClr val="F814ED"/>
                </a:solidFill>
                <a:prstDash val="dash"/>
                <a:round/>
              </a:ln>
              <a:effectLst/>
            </c:spPr>
            <c:extLst>
              <c:ext xmlns:c16="http://schemas.microsoft.com/office/drawing/2014/chart" uri="{C3380CC4-5D6E-409C-BE32-E72D297353CC}">
                <c16:uniqueId val="{0000001C-1C54-4A60-AA83-2E43728D9514}"/>
              </c:ext>
            </c:extLst>
          </c:dPt>
          <c:dPt>
            <c:idx val="8"/>
            <c:marker>
              <c:symbol val="none"/>
            </c:marker>
            <c:bubble3D val="0"/>
            <c:spPr>
              <a:ln w="25400" cap="rnd">
                <a:solidFill>
                  <a:srgbClr val="F814ED"/>
                </a:solidFill>
                <a:prstDash val="dash"/>
                <a:round/>
              </a:ln>
              <a:effectLst/>
            </c:spPr>
            <c:extLst>
              <c:ext xmlns:c16="http://schemas.microsoft.com/office/drawing/2014/chart" uri="{C3380CC4-5D6E-409C-BE32-E72D297353CC}">
                <c16:uniqueId val="{0000001E-1C54-4A60-AA83-2E43728D9514}"/>
              </c:ext>
            </c:extLst>
          </c:dPt>
          <c:dPt>
            <c:idx val="9"/>
            <c:marker>
              <c:symbol val="none"/>
            </c:marker>
            <c:bubble3D val="0"/>
            <c:spPr>
              <a:ln w="25400" cap="rnd">
                <a:solidFill>
                  <a:srgbClr val="F814ED"/>
                </a:solidFill>
                <a:prstDash val="dash"/>
                <a:round/>
              </a:ln>
              <a:effectLst/>
            </c:spPr>
            <c:extLst>
              <c:ext xmlns:c16="http://schemas.microsoft.com/office/drawing/2014/chart" uri="{C3380CC4-5D6E-409C-BE32-E72D297353CC}">
                <c16:uniqueId val="{0000001D-1C54-4A60-AA83-2E43728D9514}"/>
              </c:ext>
            </c:extLst>
          </c:dPt>
          <c:val>
            <c:numRef>
              <c:f>DCF!$C$12:$L$12</c:f>
              <c:numCache>
                <c:formatCode>#,##0</c:formatCode>
                <c:ptCount val="10"/>
                <c:pt idx="0">
                  <c:v>41715.869087554398</c:v>
                </c:pt>
                <c:pt idx="1">
                  <c:v>95130.085225082323</c:v>
                </c:pt>
                <c:pt idx="2">
                  <c:v>69276.669901261048</c:v>
                </c:pt>
                <c:pt idx="3">
                  <c:v>130890.53209189419</c:v>
                </c:pt>
                <c:pt idx="4">
                  <c:v>-571424.59505961463</c:v>
                </c:pt>
                <c:pt idx="5">
                  <c:v>190312.79264500731</c:v>
                </c:pt>
                <c:pt idx="6">
                  <c:v>312850.64750693447</c:v>
                </c:pt>
                <c:pt idx="7">
                  <c:v>365218.94550428767</c:v>
                </c:pt>
                <c:pt idx="8">
                  <c:v>421273.19142460276</c:v>
                </c:pt>
                <c:pt idx="9">
                  <c:v>481414.12075122807</c:v>
                </c:pt>
              </c:numCache>
            </c:numRef>
          </c:val>
          <c:smooth val="0"/>
          <c:extLst>
            <c:ext xmlns:c16="http://schemas.microsoft.com/office/drawing/2014/chart" uri="{C3380CC4-5D6E-409C-BE32-E72D297353CC}">
              <c16:uniqueId val="{00000019-1C54-4A60-AA83-2E43728D9514}"/>
            </c:ext>
          </c:extLst>
        </c:ser>
        <c:dLbls>
          <c:showLegendKey val="0"/>
          <c:showVal val="0"/>
          <c:showCatName val="0"/>
          <c:showSerName val="0"/>
          <c:showPercent val="0"/>
          <c:showBubbleSize val="0"/>
        </c:dLbls>
        <c:smooth val="0"/>
        <c:axId val="613849104"/>
        <c:axId val="613855824"/>
      </c:lineChart>
      <c:catAx>
        <c:axId val="61384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855824"/>
        <c:crossesAt val="-1500000"/>
        <c:auto val="1"/>
        <c:lblAlgn val="ctr"/>
        <c:lblOffset val="100"/>
        <c:noMultiLvlLbl val="0"/>
      </c:catAx>
      <c:valAx>
        <c:axId val="613855824"/>
        <c:scaling>
          <c:orientation val="minMax"/>
          <c:max val="1500000"/>
          <c:min val="-150000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849104"/>
        <c:crosses val="autoZero"/>
        <c:crossBetween val="between"/>
        <c:majorUnit val="500000"/>
        <c:dispUnits>
          <c:builtInUnit val="millions"/>
          <c:dispUnitsLbl>
            <c:layout>
              <c:manualLayout>
                <c:xMode val="edge"/>
                <c:yMode val="edge"/>
                <c:x val="1.0503246081958401E-2"/>
                <c:y val="0.47631937735099539"/>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$bn</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prstDash val="dash"/>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BS!$B$19</c:f>
              <c:strCache>
                <c:ptCount val="1"/>
                <c:pt idx="0">
                  <c:v>Total assets</c:v>
                </c:pt>
              </c:strCache>
            </c:strRef>
          </c:tx>
          <c:spPr>
            <a:ln w="12700" cap="rnd">
              <a:solidFill>
                <a:schemeClr val="accent1"/>
              </a:solidFill>
              <a:round/>
            </a:ln>
            <a:effectLst/>
          </c:spPr>
          <c:marker>
            <c:symbol val="none"/>
          </c:marker>
          <c:cat>
            <c:numRef>
              <c:f>BS!$C$3:$G$3</c:f>
              <c:numCache>
                <c:formatCode>0</c:formatCode>
                <c:ptCount val="5"/>
                <c:pt idx="0" formatCode="General">
                  <c:v>2020</c:v>
                </c:pt>
                <c:pt idx="1">
                  <c:v>2021</c:v>
                </c:pt>
                <c:pt idx="2">
                  <c:v>2022</c:v>
                </c:pt>
                <c:pt idx="3">
                  <c:v>2023</c:v>
                </c:pt>
                <c:pt idx="4">
                  <c:v>2024</c:v>
                </c:pt>
              </c:numCache>
            </c:numRef>
          </c:cat>
          <c:val>
            <c:numRef>
              <c:f>BS!$C$19:$G$19</c:f>
              <c:numCache>
                <c:formatCode>#,##0</c:formatCode>
                <c:ptCount val="5"/>
                <c:pt idx="0">
                  <c:v>1548774</c:v>
                </c:pt>
                <c:pt idx="1">
                  <c:v>1845250</c:v>
                </c:pt>
                <c:pt idx="2">
                  <c:v>2174710</c:v>
                </c:pt>
                <c:pt idx="3">
                  <c:v>2583565</c:v>
                </c:pt>
                <c:pt idx="4">
                  <c:v>3166857</c:v>
                </c:pt>
              </c:numCache>
            </c:numRef>
          </c:val>
          <c:smooth val="0"/>
          <c:extLst>
            <c:ext xmlns:c16="http://schemas.microsoft.com/office/drawing/2014/chart" uri="{C3380CC4-5D6E-409C-BE32-E72D297353CC}">
              <c16:uniqueId val="{00000000-8B79-485A-89A1-2860D993B62F}"/>
            </c:ext>
          </c:extLst>
        </c:ser>
        <c:ser>
          <c:idx val="1"/>
          <c:order val="1"/>
          <c:tx>
            <c:strRef>
              <c:f>BS!$B$34</c:f>
              <c:strCache>
                <c:ptCount val="1"/>
                <c:pt idx="0">
                  <c:v>Total liabilities</c:v>
                </c:pt>
              </c:strCache>
            </c:strRef>
          </c:tx>
          <c:spPr>
            <a:ln w="12700" cap="rnd">
              <a:solidFill>
                <a:schemeClr val="accent2"/>
              </a:solidFill>
              <a:round/>
            </a:ln>
            <a:effectLst/>
          </c:spPr>
          <c:marker>
            <c:symbol val="none"/>
          </c:marker>
          <c:cat>
            <c:numRef>
              <c:f>BS!$C$3:$G$3</c:f>
              <c:numCache>
                <c:formatCode>0</c:formatCode>
                <c:ptCount val="5"/>
                <c:pt idx="0" formatCode="General">
                  <c:v>2020</c:v>
                </c:pt>
                <c:pt idx="1">
                  <c:v>2021</c:v>
                </c:pt>
                <c:pt idx="2">
                  <c:v>2022</c:v>
                </c:pt>
                <c:pt idx="3">
                  <c:v>2023</c:v>
                </c:pt>
                <c:pt idx="4">
                  <c:v>2024</c:v>
                </c:pt>
              </c:numCache>
            </c:numRef>
          </c:cat>
          <c:val>
            <c:numRef>
              <c:f>BS!$C$34:$G$34</c:f>
              <c:numCache>
                <c:formatCode>#,##0</c:formatCode>
                <c:ptCount val="5"/>
                <c:pt idx="0">
                  <c:v>587486</c:v>
                </c:pt>
                <c:pt idx="1">
                  <c:v>624917</c:v>
                </c:pt>
                <c:pt idx="2">
                  <c:v>595369</c:v>
                </c:pt>
                <c:pt idx="3">
                  <c:v>642071</c:v>
                </c:pt>
                <c:pt idx="4">
                  <c:v>855586</c:v>
                </c:pt>
              </c:numCache>
            </c:numRef>
          </c:val>
          <c:smooth val="0"/>
          <c:extLst>
            <c:ext xmlns:c16="http://schemas.microsoft.com/office/drawing/2014/chart" uri="{C3380CC4-5D6E-409C-BE32-E72D297353CC}">
              <c16:uniqueId val="{00000001-8B79-485A-89A1-2860D993B62F}"/>
            </c:ext>
          </c:extLst>
        </c:ser>
        <c:ser>
          <c:idx val="2"/>
          <c:order val="2"/>
          <c:tx>
            <c:strRef>
              <c:f>BS!$B$42</c:f>
              <c:strCache>
                <c:ptCount val="1"/>
                <c:pt idx="0">
                  <c:v>Total stockholders’ equity</c:v>
                </c:pt>
              </c:strCache>
            </c:strRef>
          </c:tx>
          <c:spPr>
            <a:ln w="12700" cap="rnd">
              <a:solidFill>
                <a:schemeClr val="accent3"/>
              </a:solidFill>
              <a:round/>
            </a:ln>
            <a:effectLst/>
          </c:spPr>
          <c:marker>
            <c:symbol val="none"/>
          </c:marker>
          <c:cat>
            <c:numRef>
              <c:f>BS!$C$3:$G$3</c:f>
              <c:numCache>
                <c:formatCode>0</c:formatCode>
                <c:ptCount val="5"/>
                <c:pt idx="0" formatCode="General">
                  <c:v>2020</c:v>
                </c:pt>
                <c:pt idx="1">
                  <c:v>2021</c:v>
                </c:pt>
                <c:pt idx="2">
                  <c:v>2022</c:v>
                </c:pt>
                <c:pt idx="3">
                  <c:v>2023</c:v>
                </c:pt>
                <c:pt idx="4">
                  <c:v>2024</c:v>
                </c:pt>
              </c:numCache>
            </c:numRef>
          </c:cat>
          <c:val>
            <c:numRef>
              <c:f>BS!$C$42:$G$42</c:f>
              <c:numCache>
                <c:formatCode>#,##0</c:formatCode>
                <c:ptCount val="5"/>
                <c:pt idx="0">
                  <c:v>961288</c:v>
                </c:pt>
                <c:pt idx="1">
                  <c:v>1220333</c:v>
                </c:pt>
                <c:pt idx="2">
                  <c:v>1579341</c:v>
                </c:pt>
                <c:pt idx="3">
                  <c:v>1941494</c:v>
                </c:pt>
                <c:pt idx="4">
                  <c:v>2311271</c:v>
                </c:pt>
              </c:numCache>
            </c:numRef>
          </c:val>
          <c:smooth val="0"/>
          <c:extLst>
            <c:ext xmlns:c16="http://schemas.microsoft.com/office/drawing/2014/chart" uri="{C3380CC4-5D6E-409C-BE32-E72D297353CC}">
              <c16:uniqueId val="{00000002-8B79-485A-89A1-2860D993B62F}"/>
            </c:ext>
          </c:extLst>
        </c:ser>
        <c:dLbls>
          <c:showLegendKey val="0"/>
          <c:showVal val="0"/>
          <c:showCatName val="0"/>
          <c:showSerName val="0"/>
          <c:showPercent val="0"/>
          <c:showBubbleSize val="0"/>
        </c:dLbls>
        <c:smooth val="0"/>
        <c:axId val="889929184"/>
        <c:axId val="889924384"/>
      </c:lineChart>
      <c:catAx>
        <c:axId val="88992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924384"/>
        <c:crosses val="autoZero"/>
        <c:auto val="1"/>
        <c:lblAlgn val="ctr"/>
        <c:lblOffset val="100"/>
        <c:noMultiLvlLbl val="0"/>
      </c:catAx>
      <c:valAx>
        <c:axId val="889924384"/>
        <c:scaling>
          <c:orientation val="minMax"/>
          <c:max val="350000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929184"/>
        <c:crosses val="autoZero"/>
        <c:crossBetween val="midCat"/>
        <c:majorUnit val="1000000"/>
        <c:dispUnits>
          <c:builtInUnit val="millions"/>
          <c:dispUnitsLbl>
            <c:layout>
              <c:manualLayout>
                <c:xMode val="edge"/>
                <c:yMode val="edge"/>
                <c:x val="1.9444348398115003E-2"/>
                <c:y val="0.51700859604219762"/>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$bn</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Overview!$B$161</c:f>
              <c:strCache>
                <c:ptCount val="1"/>
                <c:pt idx="0">
                  <c:v>Breakeven ($bn)</c:v>
                </c:pt>
              </c:strCache>
            </c:strRef>
          </c:tx>
          <c:spPr>
            <a:ln w="12700" cap="rnd">
              <a:solidFill>
                <a:srgbClr val="FF0000"/>
              </a:solidFill>
              <a:round/>
            </a:ln>
            <a:effectLst/>
          </c:spPr>
          <c:marker>
            <c:symbol val="none"/>
          </c:marker>
          <c:dPt>
            <c:idx val="5"/>
            <c:marker>
              <c:symbol val="none"/>
            </c:marker>
            <c:bubble3D val="0"/>
            <c:spPr>
              <a:ln w="12700" cap="rnd">
                <a:solidFill>
                  <a:srgbClr val="FF0000"/>
                </a:solidFill>
                <a:prstDash val="dash"/>
                <a:round/>
              </a:ln>
              <a:effectLst/>
            </c:spPr>
            <c:extLst>
              <c:ext xmlns:c16="http://schemas.microsoft.com/office/drawing/2014/chart" uri="{C3380CC4-5D6E-409C-BE32-E72D297353CC}">
                <c16:uniqueId val="{00000008-CAF8-42D5-B107-8EF46675DDC0}"/>
              </c:ext>
            </c:extLst>
          </c:dPt>
          <c:dPt>
            <c:idx val="6"/>
            <c:marker>
              <c:symbol val="none"/>
            </c:marker>
            <c:bubble3D val="0"/>
            <c:spPr>
              <a:ln w="12700" cap="rnd">
                <a:solidFill>
                  <a:srgbClr val="FF0000"/>
                </a:solidFill>
                <a:prstDash val="dash"/>
                <a:round/>
              </a:ln>
              <a:effectLst/>
            </c:spPr>
            <c:extLst>
              <c:ext xmlns:c16="http://schemas.microsoft.com/office/drawing/2014/chart" uri="{C3380CC4-5D6E-409C-BE32-E72D297353CC}">
                <c16:uniqueId val="{0000000A-CAF8-42D5-B107-8EF46675DDC0}"/>
              </c:ext>
            </c:extLst>
          </c:dPt>
          <c:dPt>
            <c:idx val="7"/>
            <c:marker>
              <c:symbol val="none"/>
            </c:marker>
            <c:bubble3D val="0"/>
            <c:spPr>
              <a:ln w="12700" cap="rnd">
                <a:solidFill>
                  <a:srgbClr val="FF0000"/>
                </a:solidFill>
                <a:prstDash val="dash"/>
                <a:round/>
              </a:ln>
              <a:effectLst/>
            </c:spPr>
            <c:extLst>
              <c:ext xmlns:c16="http://schemas.microsoft.com/office/drawing/2014/chart" uri="{C3380CC4-5D6E-409C-BE32-E72D297353CC}">
                <c16:uniqueId val="{00000009-CAF8-42D5-B107-8EF46675DDC0}"/>
              </c:ext>
            </c:extLst>
          </c:dPt>
          <c:dPt>
            <c:idx val="8"/>
            <c:marker>
              <c:symbol val="none"/>
            </c:marker>
            <c:bubble3D val="0"/>
            <c:spPr>
              <a:ln w="12700" cap="rnd">
                <a:solidFill>
                  <a:srgbClr val="FF0000"/>
                </a:solidFill>
                <a:prstDash val="dash"/>
                <a:round/>
              </a:ln>
              <a:effectLst/>
            </c:spPr>
            <c:extLst>
              <c:ext xmlns:c16="http://schemas.microsoft.com/office/drawing/2014/chart" uri="{C3380CC4-5D6E-409C-BE32-E72D297353CC}">
                <c16:uniqueId val="{0000000B-CAF8-42D5-B107-8EF46675DDC0}"/>
              </c:ext>
            </c:extLst>
          </c:dPt>
          <c:dPt>
            <c:idx val="9"/>
            <c:marker>
              <c:symbol val="none"/>
            </c:marker>
            <c:bubble3D val="0"/>
            <c:spPr>
              <a:ln w="12700" cap="rnd">
                <a:solidFill>
                  <a:srgbClr val="FF0000"/>
                </a:solidFill>
                <a:prstDash val="dash"/>
                <a:round/>
              </a:ln>
              <a:effectLst/>
            </c:spPr>
            <c:extLst>
              <c:ext xmlns:c16="http://schemas.microsoft.com/office/drawing/2014/chart" uri="{C3380CC4-5D6E-409C-BE32-E72D297353CC}">
                <c16:uniqueId val="{0000000C-CAF8-42D5-B107-8EF46675DDC0}"/>
              </c:ext>
            </c:extLst>
          </c:dPt>
          <c:cat>
            <c:numRef>
              <c:f>Overview!$C$160:$L$160</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Overview!$C$161:$L$161</c:f>
              <c:numCache>
                <c:formatCode>#,##0.00</c:formatCode>
                <c:ptCount val="10"/>
                <c:pt idx="0">
                  <c:v>1.642045</c:v>
                </c:pt>
                <c:pt idx="1">
                  <c:v>1.9535629999999999</c:v>
                </c:pt>
                <c:pt idx="2">
                  <c:v>2.3215690000000002</c:v>
                </c:pt>
                <c:pt idx="3">
                  <c:v>2.4209369999999999</c:v>
                </c:pt>
                <c:pt idx="4">
                  <c:v>2.7269139999999998</c:v>
                </c:pt>
                <c:pt idx="5">
                  <c:v>2.9998006411384108</c:v>
                </c:pt>
                <c:pt idx="6">
                  <c:v>3.2461326045352443</c:v>
                </c:pt>
                <c:pt idx="7">
                  <c:v>3.5169471352806099</c:v>
                </c:pt>
                <c:pt idx="8">
                  <c:v>3.8144369695727192</c:v>
                </c:pt>
                <c:pt idx="9">
                  <c:v>4.1410024684359827</c:v>
                </c:pt>
              </c:numCache>
            </c:numRef>
          </c:val>
          <c:smooth val="0"/>
          <c:extLst>
            <c:ext xmlns:c16="http://schemas.microsoft.com/office/drawing/2014/chart" uri="{C3380CC4-5D6E-409C-BE32-E72D297353CC}">
              <c16:uniqueId val="{00000000-CAF8-42D5-B107-8EF46675DDC0}"/>
            </c:ext>
          </c:extLst>
        </c:ser>
        <c:ser>
          <c:idx val="1"/>
          <c:order val="1"/>
          <c:tx>
            <c:strRef>
              <c:f>Overview!$B$162</c:f>
              <c:strCache>
                <c:ptCount val="1"/>
                <c:pt idx="0">
                  <c:v>Revenue ($bn)</c:v>
                </c:pt>
              </c:strCache>
            </c:strRef>
          </c:tx>
          <c:spPr>
            <a:ln w="12700" cap="rnd">
              <a:solidFill>
                <a:srgbClr val="00B050"/>
              </a:solidFill>
              <a:round/>
            </a:ln>
            <a:effectLst/>
          </c:spPr>
          <c:marker>
            <c:symbol val="none"/>
          </c:marker>
          <c:dPt>
            <c:idx val="5"/>
            <c:marker>
              <c:symbol val="none"/>
            </c:marker>
            <c:bubble3D val="0"/>
            <c:spPr>
              <a:ln w="12700" cap="rnd">
                <a:solidFill>
                  <a:srgbClr val="00B050"/>
                </a:solidFill>
                <a:prstDash val="dash"/>
                <a:round/>
              </a:ln>
              <a:effectLst/>
            </c:spPr>
            <c:extLst>
              <c:ext xmlns:c16="http://schemas.microsoft.com/office/drawing/2014/chart" uri="{C3380CC4-5D6E-409C-BE32-E72D297353CC}">
                <c16:uniqueId val="{00000003-CAF8-42D5-B107-8EF46675DDC0}"/>
              </c:ext>
            </c:extLst>
          </c:dPt>
          <c:dPt>
            <c:idx val="6"/>
            <c:marker>
              <c:symbol val="none"/>
            </c:marker>
            <c:bubble3D val="0"/>
            <c:spPr>
              <a:ln w="12700" cap="rnd">
                <a:solidFill>
                  <a:srgbClr val="00B050"/>
                </a:solidFill>
                <a:prstDash val="dash"/>
                <a:round/>
              </a:ln>
              <a:effectLst/>
            </c:spPr>
            <c:extLst>
              <c:ext xmlns:c16="http://schemas.microsoft.com/office/drawing/2014/chart" uri="{C3380CC4-5D6E-409C-BE32-E72D297353CC}">
                <c16:uniqueId val="{00000004-CAF8-42D5-B107-8EF46675DDC0}"/>
              </c:ext>
            </c:extLst>
          </c:dPt>
          <c:dPt>
            <c:idx val="7"/>
            <c:marker>
              <c:symbol val="none"/>
            </c:marker>
            <c:bubble3D val="0"/>
            <c:spPr>
              <a:ln w="12700" cap="rnd">
                <a:solidFill>
                  <a:srgbClr val="00B050"/>
                </a:solidFill>
                <a:prstDash val="dash"/>
                <a:round/>
              </a:ln>
              <a:effectLst/>
            </c:spPr>
            <c:extLst>
              <c:ext xmlns:c16="http://schemas.microsoft.com/office/drawing/2014/chart" uri="{C3380CC4-5D6E-409C-BE32-E72D297353CC}">
                <c16:uniqueId val="{00000005-CAF8-42D5-B107-8EF46675DDC0}"/>
              </c:ext>
            </c:extLst>
          </c:dPt>
          <c:dPt>
            <c:idx val="8"/>
            <c:marker>
              <c:symbol val="none"/>
            </c:marker>
            <c:bubble3D val="0"/>
            <c:spPr>
              <a:ln w="12700" cap="rnd">
                <a:solidFill>
                  <a:srgbClr val="00B050"/>
                </a:solidFill>
                <a:prstDash val="dash"/>
                <a:round/>
              </a:ln>
              <a:effectLst/>
            </c:spPr>
            <c:extLst>
              <c:ext xmlns:c16="http://schemas.microsoft.com/office/drawing/2014/chart" uri="{C3380CC4-5D6E-409C-BE32-E72D297353CC}">
                <c16:uniqueId val="{00000006-CAF8-42D5-B107-8EF46675DDC0}"/>
              </c:ext>
            </c:extLst>
          </c:dPt>
          <c:dPt>
            <c:idx val="9"/>
            <c:marker>
              <c:symbol val="none"/>
            </c:marker>
            <c:bubble3D val="0"/>
            <c:spPr>
              <a:ln w="12700" cap="rnd">
                <a:solidFill>
                  <a:srgbClr val="00B050"/>
                </a:solidFill>
                <a:prstDash val="dash"/>
                <a:round/>
              </a:ln>
              <a:effectLst/>
            </c:spPr>
            <c:extLst>
              <c:ext xmlns:c16="http://schemas.microsoft.com/office/drawing/2014/chart" uri="{C3380CC4-5D6E-409C-BE32-E72D297353CC}">
                <c16:uniqueId val="{00000007-CAF8-42D5-B107-8EF46675DDC0}"/>
              </c:ext>
            </c:extLst>
          </c:dPt>
          <c:cat>
            <c:numRef>
              <c:f>Overview!$C$160:$L$160</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Overview!$C$162:$L$162</c:f>
              <c:numCache>
                <c:formatCode>#,##0.00</c:formatCode>
                <c:ptCount val="10"/>
                <c:pt idx="0">
                  <c:v>1.8223659999999999</c:v>
                </c:pt>
                <c:pt idx="1">
                  <c:v>2.2887040000000001</c:v>
                </c:pt>
                <c:pt idx="2">
                  <c:v>2.7920569999999998</c:v>
                </c:pt>
                <c:pt idx="3">
                  <c:v>2.8814329999999999</c:v>
                </c:pt>
                <c:pt idx="4">
                  <c:v>3.2090740000000002</c:v>
                </c:pt>
                <c:pt idx="5">
                  <c:v>3.5070419317356745</c:v>
                </c:pt>
                <c:pt idx="6">
                  <c:v>3.8326766883382222</c:v>
                </c:pt>
                <c:pt idx="7">
                  <c:v>4.1885471811457027</c:v>
                </c:pt>
                <c:pt idx="8">
                  <c:v>4.5774608492453712</c:v>
                </c:pt>
                <c:pt idx="9">
                  <c:v>5.0024858071773686</c:v>
                </c:pt>
              </c:numCache>
            </c:numRef>
          </c:val>
          <c:smooth val="0"/>
          <c:extLst>
            <c:ext xmlns:c16="http://schemas.microsoft.com/office/drawing/2014/chart" uri="{C3380CC4-5D6E-409C-BE32-E72D297353CC}">
              <c16:uniqueId val="{00000001-CAF8-42D5-B107-8EF46675DDC0}"/>
            </c:ext>
          </c:extLst>
        </c:ser>
        <c:dLbls>
          <c:showLegendKey val="0"/>
          <c:showVal val="0"/>
          <c:showCatName val="0"/>
          <c:showSerName val="0"/>
          <c:showPercent val="0"/>
          <c:showBubbleSize val="0"/>
        </c:dLbls>
        <c:smooth val="0"/>
        <c:axId val="889949824"/>
        <c:axId val="889954144"/>
      </c:lineChart>
      <c:catAx>
        <c:axId val="88994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954144"/>
        <c:crosses val="autoZero"/>
        <c:auto val="1"/>
        <c:lblAlgn val="ctr"/>
        <c:lblOffset val="100"/>
        <c:noMultiLvlLbl val="0"/>
      </c:catAx>
      <c:valAx>
        <c:axId val="889954144"/>
        <c:scaling>
          <c:orientation val="minMax"/>
          <c:max val="6"/>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$bn</a:t>
                </a:r>
              </a:p>
            </c:rich>
          </c:tx>
          <c:layout>
            <c:manualLayout>
              <c:xMode val="edge"/>
              <c:yMode val="edge"/>
              <c:x val="1.9444487108318212E-2"/>
              <c:y val="0.4564640315594332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9498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'Charts (Hidden)'!$B$50</c:f>
              <c:strCache>
                <c:ptCount val="1"/>
                <c:pt idx="0">
                  <c:v>Debt-to-Equity</c:v>
                </c:pt>
              </c:strCache>
            </c:strRef>
          </c:tx>
          <c:spPr>
            <a:ln w="12700" cap="rnd">
              <a:solidFill>
                <a:schemeClr val="accent1"/>
              </a:solidFill>
              <a:round/>
            </a:ln>
            <a:effectLst/>
          </c:spPr>
          <c:marker>
            <c:symbol val="none"/>
          </c:marker>
          <c:cat>
            <c:numRef>
              <c:f>'Charts (Hidden)'!$C$47:$G$47</c:f>
              <c:numCache>
                <c:formatCode>General</c:formatCode>
                <c:ptCount val="5"/>
                <c:pt idx="0">
                  <c:v>2020</c:v>
                </c:pt>
                <c:pt idx="1">
                  <c:v>2021</c:v>
                </c:pt>
                <c:pt idx="2">
                  <c:v>2022</c:v>
                </c:pt>
                <c:pt idx="3">
                  <c:v>2023</c:v>
                </c:pt>
                <c:pt idx="4">
                  <c:v>2024</c:v>
                </c:pt>
              </c:numCache>
            </c:numRef>
          </c:cat>
          <c:val>
            <c:numRef>
              <c:f>'Charts (Hidden)'!$C$50:$G$50</c:f>
              <c:numCache>
                <c:formatCode>0.00</c:formatCode>
                <c:ptCount val="5"/>
                <c:pt idx="0">
                  <c:v>0.19401677749020066</c:v>
                </c:pt>
                <c:pt idx="1">
                  <c:v>0.13142150544154751</c:v>
                </c:pt>
                <c:pt idx="2">
                  <c:v>9.7834476531667325E-2</c:v>
                </c:pt>
                <c:pt idx="3">
                  <c:v>7.1443434798150296E-2</c:v>
                </c:pt>
                <c:pt idx="4">
                  <c:v>0.1403833648239432</c:v>
                </c:pt>
              </c:numCache>
            </c:numRef>
          </c:val>
          <c:smooth val="0"/>
          <c:extLst>
            <c:ext xmlns:c16="http://schemas.microsoft.com/office/drawing/2014/chart" uri="{C3380CC4-5D6E-409C-BE32-E72D297353CC}">
              <c16:uniqueId val="{00000000-0857-4BCE-B9BF-8A7DD7F36CB8}"/>
            </c:ext>
          </c:extLst>
        </c:ser>
        <c:ser>
          <c:idx val="1"/>
          <c:order val="1"/>
          <c:tx>
            <c:strRef>
              <c:f>'Charts (Hidden)'!$B$51</c:f>
              <c:strCache>
                <c:ptCount val="1"/>
                <c:pt idx="0">
                  <c:v>Capitalisation Ratio</c:v>
                </c:pt>
              </c:strCache>
            </c:strRef>
          </c:tx>
          <c:spPr>
            <a:ln w="12700" cap="rnd">
              <a:solidFill>
                <a:schemeClr val="accent2"/>
              </a:solidFill>
              <a:round/>
            </a:ln>
            <a:effectLst/>
          </c:spPr>
          <c:marker>
            <c:symbol val="none"/>
          </c:marker>
          <c:cat>
            <c:numRef>
              <c:f>'Charts (Hidden)'!$C$47:$G$47</c:f>
              <c:numCache>
                <c:formatCode>General</c:formatCode>
                <c:ptCount val="5"/>
                <c:pt idx="0">
                  <c:v>2020</c:v>
                </c:pt>
                <c:pt idx="1">
                  <c:v>2021</c:v>
                </c:pt>
                <c:pt idx="2">
                  <c:v>2022</c:v>
                </c:pt>
                <c:pt idx="3">
                  <c:v>2023</c:v>
                </c:pt>
                <c:pt idx="4">
                  <c:v>2024</c:v>
                </c:pt>
              </c:numCache>
            </c:numRef>
          </c:cat>
          <c:val>
            <c:numRef>
              <c:f>'Charts (Hidden)'!$C$51:$G$51</c:f>
              <c:numCache>
                <c:formatCode>0.00</c:formatCode>
                <c:ptCount val="5"/>
                <c:pt idx="0">
                  <c:v>0.16249083023608765</c:v>
                </c:pt>
                <c:pt idx="1">
                  <c:v>0.11615609638802038</c:v>
                </c:pt>
                <c:pt idx="2">
                  <c:v>8.9115871857796639E-2</c:v>
                </c:pt>
                <c:pt idx="3">
                  <c:v>6.6679614133441908E-2</c:v>
                </c:pt>
                <c:pt idx="4">
                  <c:v>0.12310190516117896</c:v>
                </c:pt>
              </c:numCache>
            </c:numRef>
          </c:val>
          <c:smooth val="0"/>
          <c:extLst>
            <c:ext xmlns:c16="http://schemas.microsoft.com/office/drawing/2014/chart" uri="{C3380CC4-5D6E-409C-BE32-E72D297353CC}">
              <c16:uniqueId val="{00000001-0857-4BCE-B9BF-8A7DD7F36CB8}"/>
            </c:ext>
          </c:extLst>
        </c:ser>
        <c:ser>
          <c:idx val="2"/>
          <c:order val="2"/>
          <c:tx>
            <c:strRef>
              <c:f>'Charts (Hidden)'!$B$52</c:f>
              <c:strCache>
                <c:ptCount val="1"/>
                <c:pt idx="0">
                  <c:v>Debt Ratio (D/A)</c:v>
                </c:pt>
              </c:strCache>
            </c:strRef>
          </c:tx>
          <c:spPr>
            <a:ln w="12700" cap="rnd">
              <a:solidFill>
                <a:schemeClr val="accent3"/>
              </a:solidFill>
              <a:round/>
            </a:ln>
            <a:effectLst/>
          </c:spPr>
          <c:marker>
            <c:symbol val="none"/>
          </c:marker>
          <c:cat>
            <c:numRef>
              <c:f>'Charts (Hidden)'!$C$47:$G$47</c:f>
              <c:numCache>
                <c:formatCode>General</c:formatCode>
                <c:ptCount val="5"/>
                <c:pt idx="0">
                  <c:v>2020</c:v>
                </c:pt>
                <c:pt idx="1">
                  <c:v>2021</c:v>
                </c:pt>
                <c:pt idx="2">
                  <c:v>2022</c:v>
                </c:pt>
                <c:pt idx="3">
                  <c:v>2023</c:v>
                </c:pt>
                <c:pt idx="4">
                  <c:v>2024</c:v>
                </c:pt>
              </c:numCache>
            </c:numRef>
          </c:cat>
          <c:val>
            <c:numRef>
              <c:f>'Charts (Hidden)'!$C$52:$G$52</c:f>
              <c:numCache>
                <c:formatCode>0.00</c:formatCode>
                <c:ptCount val="5"/>
                <c:pt idx="0">
                  <c:v>0.37932325826750707</c:v>
                </c:pt>
                <c:pt idx="1">
                  <c:v>0.3386625118547622</c:v>
                </c:pt>
                <c:pt idx="2">
                  <c:v>0.2737693761467046</c:v>
                </c:pt>
                <c:pt idx="3">
                  <c:v>0.24852132615204184</c:v>
                </c:pt>
                <c:pt idx="4">
                  <c:v>0.27016881406391258</c:v>
                </c:pt>
              </c:numCache>
            </c:numRef>
          </c:val>
          <c:smooth val="0"/>
          <c:extLst>
            <c:ext xmlns:c16="http://schemas.microsoft.com/office/drawing/2014/chart" uri="{C3380CC4-5D6E-409C-BE32-E72D297353CC}">
              <c16:uniqueId val="{00000002-0857-4BCE-B9BF-8A7DD7F36CB8}"/>
            </c:ext>
          </c:extLst>
        </c:ser>
        <c:ser>
          <c:idx val="3"/>
          <c:order val="3"/>
          <c:tx>
            <c:strRef>
              <c:f>'Charts (Hidden)'!$B$53</c:f>
              <c:strCache>
                <c:ptCount val="1"/>
                <c:pt idx="0">
                  <c:v>Long-term Debt to Capitalisation</c:v>
                </c:pt>
              </c:strCache>
            </c:strRef>
          </c:tx>
          <c:spPr>
            <a:ln w="12700" cap="rnd">
              <a:solidFill>
                <a:schemeClr val="accent4"/>
              </a:solidFill>
              <a:round/>
            </a:ln>
            <a:effectLst/>
          </c:spPr>
          <c:marker>
            <c:symbol val="none"/>
          </c:marker>
          <c:cat>
            <c:numRef>
              <c:f>'Charts (Hidden)'!$C$47:$G$47</c:f>
              <c:numCache>
                <c:formatCode>General</c:formatCode>
                <c:ptCount val="5"/>
                <c:pt idx="0">
                  <c:v>2020</c:v>
                </c:pt>
                <c:pt idx="1">
                  <c:v>2021</c:v>
                </c:pt>
                <c:pt idx="2">
                  <c:v>2022</c:v>
                </c:pt>
                <c:pt idx="3">
                  <c:v>2023</c:v>
                </c:pt>
                <c:pt idx="4">
                  <c:v>2024</c:v>
                </c:pt>
              </c:numCache>
            </c:numRef>
          </c:cat>
          <c:val>
            <c:numRef>
              <c:f>'Charts (Hidden)'!$C$53:$G$53</c:f>
              <c:numCache>
                <c:formatCode>0.00</c:formatCode>
                <c:ptCount val="5"/>
                <c:pt idx="0">
                  <c:v>0.24487596424250993</c:v>
                </c:pt>
                <c:pt idx="1">
                  <c:v>0.1992050669924969</c:v>
                </c:pt>
                <c:pt idx="2">
                  <c:v>0.1690412364353831</c:v>
                </c:pt>
                <c:pt idx="3">
                  <c:v>0.14150507470896645</c:v>
                </c:pt>
                <c:pt idx="4">
                  <c:v>0.19983610853672343</c:v>
                </c:pt>
              </c:numCache>
            </c:numRef>
          </c:val>
          <c:smooth val="0"/>
          <c:extLst>
            <c:ext xmlns:c16="http://schemas.microsoft.com/office/drawing/2014/chart" uri="{C3380CC4-5D6E-409C-BE32-E72D297353CC}">
              <c16:uniqueId val="{00000003-0857-4BCE-B9BF-8A7DD7F36CB8}"/>
            </c:ext>
          </c:extLst>
        </c:ser>
        <c:dLbls>
          <c:showLegendKey val="0"/>
          <c:showVal val="0"/>
          <c:showCatName val="0"/>
          <c:showSerName val="0"/>
          <c:showPercent val="0"/>
          <c:showBubbleSize val="0"/>
        </c:dLbls>
        <c:smooth val="0"/>
        <c:axId val="889936384"/>
        <c:axId val="889920064"/>
      </c:lineChart>
      <c:catAx>
        <c:axId val="88993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920064"/>
        <c:crosses val="autoZero"/>
        <c:auto val="1"/>
        <c:lblAlgn val="ctr"/>
        <c:lblOffset val="100"/>
        <c:noMultiLvlLbl val="0"/>
      </c:catAx>
      <c:valAx>
        <c:axId val="88992006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936384"/>
        <c:crosses val="autoZero"/>
        <c:crossBetween val="midCat"/>
        <c:majorUnit val="0.25"/>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'Charts (Hidden)'!$B$55</c:f>
              <c:strCache>
                <c:ptCount val="1"/>
                <c:pt idx="0">
                  <c:v>Cash Ratio</c:v>
                </c:pt>
              </c:strCache>
            </c:strRef>
          </c:tx>
          <c:spPr>
            <a:ln w="12700" cap="rnd">
              <a:solidFill>
                <a:schemeClr val="accent1"/>
              </a:solidFill>
              <a:round/>
            </a:ln>
            <a:effectLst/>
          </c:spPr>
          <c:marker>
            <c:symbol val="none"/>
          </c:marker>
          <c:dPt>
            <c:idx val="5"/>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B-48D5-43E0-806A-54EE04D74618}"/>
              </c:ext>
            </c:extLst>
          </c:dPt>
          <c:dPt>
            <c:idx val="6"/>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A-48D5-43E0-806A-54EE04D74618}"/>
              </c:ext>
            </c:extLst>
          </c:dPt>
          <c:dPt>
            <c:idx val="7"/>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9-48D5-43E0-806A-54EE04D74618}"/>
              </c:ext>
            </c:extLst>
          </c:dPt>
          <c:dPt>
            <c:idx val="8"/>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8-48D5-43E0-806A-54EE04D74618}"/>
              </c:ext>
            </c:extLst>
          </c:dPt>
          <c:dPt>
            <c:idx val="9"/>
            <c:marker>
              <c:symbol val="none"/>
            </c:marker>
            <c:bubble3D val="0"/>
            <c:spPr>
              <a:ln w="12700" cap="rnd">
                <a:solidFill>
                  <a:schemeClr val="accent1"/>
                </a:solidFill>
                <a:prstDash val="dash"/>
                <a:round/>
              </a:ln>
              <a:effectLst/>
            </c:spPr>
            <c:extLst>
              <c:ext xmlns:c16="http://schemas.microsoft.com/office/drawing/2014/chart" uri="{C3380CC4-5D6E-409C-BE32-E72D297353CC}">
                <c16:uniqueId val="{00000007-48D5-43E0-806A-54EE04D74618}"/>
              </c:ext>
            </c:extLst>
          </c:dPt>
          <c:cat>
            <c:numRef>
              <c:f>BS!$C$3:$L$3</c:f>
              <c:numCache>
                <c:formatCode>0</c:formatCode>
                <c:ptCount val="10"/>
                <c:pt idx="0" formatCode="General">
                  <c:v>2020</c:v>
                </c:pt>
                <c:pt idx="1">
                  <c:v>2021</c:v>
                </c:pt>
                <c:pt idx="2">
                  <c:v>2022</c:v>
                </c:pt>
                <c:pt idx="3">
                  <c:v>2023</c:v>
                </c:pt>
                <c:pt idx="4">
                  <c:v>2024</c:v>
                </c:pt>
                <c:pt idx="5">
                  <c:v>2025</c:v>
                </c:pt>
                <c:pt idx="6">
                  <c:v>2026</c:v>
                </c:pt>
                <c:pt idx="7">
                  <c:v>2027</c:v>
                </c:pt>
                <c:pt idx="8">
                  <c:v>2028</c:v>
                </c:pt>
                <c:pt idx="9">
                  <c:v>2029</c:v>
                </c:pt>
              </c:numCache>
            </c:numRef>
          </c:cat>
          <c:val>
            <c:numRef>
              <c:f>'Charts (Hidden)'!$C$55:$L$55</c:f>
              <c:numCache>
                <c:formatCode>0.00</c:formatCode>
                <c:ptCount val="10"/>
                <c:pt idx="0">
                  <c:v>9.1777453817533022E-2</c:v>
                </c:pt>
                <c:pt idx="1">
                  <c:v>0.33169025480164804</c:v>
                </c:pt>
                <c:pt idx="2">
                  <c:v>0.68369301494062062</c:v>
                </c:pt>
                <c:pt idx="3">
                  <c:v>0.91976240156991329</c:v>
                </c:pt>
                <c:pt idx="4">
                  <c:v>6.9956171863773536E-2</c:v>
                </c:pt>
                <c:pt idx="5">
                  <c:v>8.4489625910844746E-2</c:v>
                </c:pt>
                <c:pt idx="6">
                  <c:v>0.60579241809491802</c:v>
                </c:pt>
                <c:pt idx="7">
                  <c:v>0.82343391741301963</c:v>
                </c:pt>
                <c:pt idx="8">
                  <c:v>0.78194702569733199</c:v>
                </c:pt>
                <c:pt idx="9">
                  <c:v>0.74139037478765568</c:v>
                </c:pt>
              </c:numCache>
            </c:numRef>
          </c:val>
          <c:smooth val="0"/>
          <c:extLst>
            <c:ext xmlns:c16="http://schemas.microsoft.com/office/drawing/2014/chart" uri="{C3380CC4-5D6E-409C-BE32-E72D297353CC}">
              <c16:uniqueId val="{00000000-48D5-43E0-806A-54EE04D74618}"/>
            </c:ext>
          </c:extLst>
        </c:ser>
        <c:ser>
          <c:idx val="1"/>
          <c:order val="1"/>
          <c:tx>
            <c:strRef>
              <c:f>'Charts (Hidden)'!$B$56</c:f>
              <c:strCache>
                <c:ptCount val="1"/>
                <c:pt idx="0">
                  <c:v>Current Ratio</c:v>
                </c:pt>
              </c:strCache>
            </c:strRef>
          </c:tx>
          <c:spPr>
            <a:ln w="12700" cap="rnd">
              <a:solidFill>
                <a:schemeClr val="accent2"/>
              </a:solidFill>
              <a:round/>
            </a:ln>
            <a:effectLst/>
          </c:spPr>
          <c:marker>
            <c:symbol val="none"/>
          </c:marker>
          <c:dPt>
            <c:idx val="5"/>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2-48D5-43E0-806A-54EE04D74618}"/>
              </c:ext>
            </c:extLst>
          </c:dPt>
          <c:dPt>
            <c:idx val="6"/>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3-48D5-43E0-806A-54EE04D74618}"/>
              </c:ext>
            </c:extLst>
          </c:dPt>
          <c:dPt>
            <c:idx val="7"/>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4-48D5-43E0-806A-54EE04D74618}"/>
              </c:ext>
            </c:extLst>
          </c:dPt>
          <c:dPt>
            <c:idx val="8"/>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6-48D5-43E0-806A-54EE04D74618}"/>
              </c:ext>
            </c:extLst>
          </c:dPt>
          <c:dPt>
            <c:idx val="9"/>
            <c:marker>
              <c:symbol val="none"/>
            </c:marker>
            <c:bubble3D val="0"/>
            <c:spPr>
              <a:ln w="12700" cap="rnd">
                <a:solidFill>
                  <a:schemeClr val="accent2"/>
                </a:solidFill>
                <a:prstDash val="dash"/>
                <a:round/>
              </a:ln>
              <a:effectLst/>
            </c:spPr>
            <c:extLst>
              <c:ext xmlns:c16="http://schemas.microsoft.com/office/drawing/2014/chart" uri="{C3380CC4-5D6E-409C-BE32-E72D297353CC}">
                <c16:uniqueId val="{00000005-48D5-43E0-806A-54EE04D74618}"/>
              </c:ext>
            </c:extLst>
          </c:dPt>
          <c:cat>
            <c:numRef>
              <c:f>BS!$C$3:$L$3</c:f>
              <c:numCache>
                <c:formatCode>0</c:formatCode>
                <c:ptCount val="10"/>
                <c:pt idx="0" formatCode="General">
                  <c:v>2020</c:v>
                </c:pt>
                <c:pt idx="1">
                  <c:v>2021</c:v>
                </c:pt>
                <c:pt idx="2">
                  <c:v>2022</c:v>
                </c:pt>
                <c:pt idx="3">
                  <c:v>2023</c:v>
                </c:pt>
                <c:pt idx="4">
                  <c:v>2024</c:v>
                </c:pt>
                <c:pt idx="5">
                  <c:v>2025</c:v>
                </c:pt>
                <c:pt idx="6">
                  <c:v>2026</c:v>
                </c:pt>
                <c:pt idx="7">
                  <c:v>2027</c:v>
                </c:pt>
                <c:pt idx="8">
                  <c:v>2028</c:v>
                </c:pt>
                <c:pt idx="9">
                  <c:v>2029</c:v>
                </c:pt>
              </c:numCache>
            </c:numRef>
          </c:cat>
          <c:val>
            <c:numRef>
              <c:f>'Charts (Hidden)'!$C$56:$L$56</c:f>
              <c:numCache>
                <c:formatCode>0.00</c:formatCode>
                <c:ptCount val="10"/>
                <c:pt idx="0">
                  <c:v>0.98528398500112424</c:v>
                </c:pt>
                <c:pt idx="1">
                  <c:v>1.2953402541792698</c:v>
                </c:pt>
                <c:pt idx="2">
                  <c:v>1.9369392706642099</c:v>
                </c:pt>
                <c:pt idx="3">
                  <c:v>2.0142273393447101</c:v>
                </c:pt>
                <c:pt idx="4">
                  <c:v>1.5654871389567466</c:v>
                </c:pt>
                <c:pt idx="5">
                  <c:v>1.3801637404809637</c:v>
                </c:pt>
                <c:pt idx="6">
                  <c:v>1.943982476082601</c:v>
                </c:pt>
                <c:pt idx="7">
                  <c:v>2.2041959892161009</c:v>
                </c:pt>
                <c:pt idx="8">
                  <c:v>2.2052084899436388</c:v>
                </c:pt>
                <c:pt idx="9">
                  <c:v>2.2069520288194751</c:v>
                </c:pt>
              </c:numCache>
            </c:numRef>
          </c:val>
          <c:smooth val="0"/>
          <c:extLst>
            <c:ext xmlns:c16="http://schemas.microsoft.com/office/drawing/2014/chart" uri="{C3380CC4-5D6E-409C-BE32-E72D297353CC}">
              <c16:uniqueId val="{00000001-48D5-43E0-806A-54EE04D74618}"/>
            </c:ext>
          </c:extLst>
        </c:ser>
        <c:dLbls>
          <c:showLegendKey val="0"/>
          <c:showVal val="0"/>
          <c:showCatName val="0"/>
          <c:showSerName val="0"/>
          <c:showPercent val="0"/>
          <c:showBubbleSize val="0"/>
        </c:dLbls>
        <c:smooth val="0"/>
        <c:axId val="613851504"/>
        <c:axId val="613859664"/>
      </c:lineChart>
      <c:catAx>
        <c:axId val="61385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859664"/>
        <c:crosses val="autoZero"/>
        <c:auto val="1"/>
        <c:lblAlgn val="ctr"/>
        <c:lblOffset val="100"/>
        <c:tickLblSkip val="3"/>
        <c:tickMarkSkip val="2"/>
        <c:noMultiLvlLbl val="0"/>
      </c:catAx>
      <c:valAx>
        <c:axId val="61385966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851504"/>
        <c:crosses val="autoZero"/>
        <c:crossBetween val="between"/>
        <c:maj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chartData>
  <cx:chart>
    <cx:title pos="t" align="ctr" overlay="0">
      <cx:tx>
        <cx:txData>
          <cx:v>DCF Upside Sensitivity Analysis</cx:v>
        </cx:txData>
      </cx:tx>
      <cx:txPr>
        <a:bodyPr spcFirstLastPara="1" vertOverflow="ellipsis" horzOverflow="overflow" wrap="square" lIns="0" tIns="0" rIns="0" bIns="0" anchor="ctr" anchorCtr="1"/>
        <a:lstStyle/>
        <a:p>
          <a:pPr algn="ctr" rtl="0">
            <a:defRPr sz="1100"/>
          </a:pPr>
          <a:r>
            <a:rPr lang="en-GB" sz="1100" b="0" i="0" u="none" strike="noStrike" baseline="0">
              <a:solidFill>
                <a:srgbClr val="000000">
                  <a:lumMod val="65000"/>
                  <a:lumOff val="35000"/>
                </a:srgbClr>
              </a:solidFill>
              <a:latin typeface="Arial"/>
              <a:cs typeface="Arial"/>
            </a:rPr>
            <a:t>DCF Upside Sensitivity Analysis</a:t>
          </a:r>
        </a:p>
      </cx:txPr>
    </cx:title>
    <cx:plotArea>
      <cx:plotAreaRegion>
        <cx:plotSurface>
          <cx:spPr>
            <a:noFill/>
          </cx:spPr>
        </cx:plotSurface>
        <cx:series layoutId="boxWhisker" uniqueId="{ABBACAF8-76E7-4AEE-8C8C-5282FD86076E}">
          <cx:tx>
            <cx:txData>
              <cx:f>_xlchart.v1.0</cx:f>
              <cx:v>Scenario Analysis</cx:v>
            </cx:txData>
          </cx:tx>
          <cx:dataId val="0"/>
          <cx:layoutPr>
            <cx:visibility meanLine="0" meanMarker="0" nonoutliers="0" outliers="0"/>
            <cx:statistics quartileMethod="inclusive"/>
          </cx:layoutPr>
        </cx:series>
        <cx:series layoutId="boxWhisker" uniqueId="{4CB0C95F-2D04-49BA-896C-59A9A4BF2C30}">
          <cx:tx>
            <cx:txData>
              <cx:f>_xlchart.v1.2</cx:f>
              <cx:v>Revenue +/- 5%</cx:v>
            </cx:txData>
          </cx:tx>
          <cx:dataId val="1"/>
          <cx:layoutPr>
            <cx:visibility meanLine="0" meanMarker="0" nonoutliers="0" outliers="1"/>
            <cx:statistics quartileMethod="inclusive"/>
          </cx:layoutPr>
        </cx:series>
        <cx:series layoutId="boxWhisker" uniqueId="{9D6F0CF5-B83B-4BEE-ACAE-1BB3C6B1295C}">
          <cx:tx>
            <cx:txData>
              <cx:f>_xlchart.v1.4</cx:f>
              <cx:v>WACC/TGR</cx:v>
            </cx:txData>
          </cx:tx>
          <cx:dataId val="2"/>
          <cx:layoutPr>
            <cx:visibility meanLine="0" meanMarker="0" nonoutliers="0" outliers="0"/>
            <cx:statistics quartileMethod="inclusive"/>
          </cx:layoutPr>
        </cx:series>
      </cx:plotAreaRegion>
      <cx:axis id="0" hidden="1">
        <cx:catScaling gapWidth="0.159999996"/>
        <cx:tickLabels/>
      </cx:axis>
      <cx:axis id="1">
        <cx:valScaling max="1.05" min="-0.5"/>
        <cx:tickLabels/>
        <cx:numFmt formatCode="0%" sourceLinked="0"/>
        <cx:txPr>
          <a:bodyPr spcFirstLastPara="1" vertOverflow="ellipsis" horzOverflow="overflow" wrap="square" lIns="0" tIns="0" rIns="0" bIns="0" anchor="ctr" anchorCtr="1"/>
          <a:lstStyle/>
          <a:p>
            <a:pPr algn="ctr" rtl="0">
              <a:defRPr sz="700"/>
            </a:pPr>
            <a:endParaRPr lang="en-GB" sz="700" b="0" i="0" u="none" strike="noStrike" baseline="0">
              <a:solidFill>
                <a:srgbClr val="000000">
                  <a:lumMod val="65000"/>
                  <a:lumOff val="35000"/>
                </a:srgbClr>
              </a:solidFill>
              <a:latin typeface="Arial"/>
              <a:cs typeface="Arial"/>
            </a:endParaRPr>
          </a:p>
        </cx:txPr>
      </cx:axis>
    </cx:plotArea>
    <cx:legend pos="t" align="ctr"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5232</xdr:colOff>
      <xdr:row>16</xdr:row>
      <xdr:rowOff>41229</xdr:rowOff>
    </xdr:from>
    <xdr:to>
      <xdr:col>7</xdr:col>
      <xdr:colOff>325676</xdr:colOff>
      <xdr:row>32</xdr:row>
      <xdr:rowOff>156631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99376B0-620A-4A4B-95E0-1BC1892DC8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3832" y="2727279"/>
              <a:ext cx="5292494" cy="270620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561162</xdr:colOff>
      <xdr:row>16</xdr:row>
      <xdr:rowOff>14768</xdr:rowOff>
    </xdr:from>
    <xdr:to>
      <xdr:col>15</xdr:col>
      <xdr:colOff>230372</xdr:colOff>
      <xdr:row>32</xdr:row>
      <xdr:rowOff>158898</xdr:rowOff>
    </xdr:to>
    <xdr:graphicFrame macro="">
      <xdr:nvGraphicFramePr>
        <xdr:cNvPr id="3" name="Chart 2">
          <a:extLst>
            <a:ext uri="{FF2B5EF4-FFF2-40B4-BE49-F238E27FC236}">
              <a16:creationId xmlns:a16="http://schemas.microsoft.com/office/drawing/2014/main" id="{EC559D7A-D489-4607-B220-63A8F85D7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228455</xdr:colOff>
      <xdr:row>36</xdr:row>
      <xdr:rowOff>60284</xdr:rowOff>
    </xdr:from>
    <xdr:to>
      <xdr:col>7</xdr:col>
      <xdr:colOff>433299</xdr:colOff>
      <xdr:row>51</xdr:row>
      <xdr:rowOff>43963</xdr:rowOff>
    </xdr:to>
    <xdr:graphicFrame macro="">
      <xdr:nvGraphicFramePr>
        <xdr:cNvPr id="4" name="Chart 3">
          <a:extLst>
            <a:ext uri="{FF2B5EF4-FFF2-40B4-BE49-F238E27FC236}">
              <a16:creationId xmlns:a16="http://schemas.microsoft.com/office/drawing/2014/main" id="{9BD64682-16A9-4D48-A7CB-056B6ECA6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160897</xdr:colOff>
      <xdr:row>36</xdr:row>
      <xdr:rowOff>32179</xdr:rowOff>
    </xdr:from>
    <xdr:to>
      <xdr:col>15</xdr:col>
      <xdr:colOff>322622</xdr:colOff>
      <xdr:row>51</xdr:row>
      <xdr:rowOff>46088</xdr:rowOff>
    </xdr:to>
    <xdr:graphicFrame macro="">
      <xdr:nvGraphicFramePr>
        <xdr:cNvPr id="5" name="Chart 4">
          <a:extLst>
            <a:ext uri="{FF2B5EF4-FFF2-40B4-BE49-F238E27FC236}">
              <a16:creationId xmlns:a16="http://schemas.microsoft.com/office/drawing/2014/main" id="{7225E4D9-4B0B-4156-A2D7-583B8A26B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194092</xdr:colOff>
      <xdr:row>52</xdr:row>
      <xdr:rowOff>126702</xdr:rowOff>
    </xdr:from>
    <xdr:to>
      <xdr:col>15</xdr:col>
      <xdr:colOff>470944</xdr:colOff>
      <xdr:row>75</xdr:row>
      <xdr:rowOff>105378</xdr:rowOff>
    </xdr:to>
    <xdr:graphicFrame macro="">
      <xdr:nvGraphicFramePr>
        <xdr:cNvPr id="7" name="Chart 6">
          <a:extLst>
            <a:ext uri="{FF2B5EF4-FFF2-40B4-BE49-F238E27FC236}">
              <a16:creationId xmlns:a16="http://schemas.microsoft.com/office/drawing/2014/main" id="{DDED9C93-C2D4-48AE-BEDB-4A8EB966D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272851</xdr:colOff>
      <xdr:row>78</xdr:row>
      <xdr:rowOff>38089</xdr:rowOff>
    </xdr:from>
    <xdr:to>
      <xdr:col>8</xdr:col>
      <xdr:colOff>9032</xdr:colOff>
      <xdr:row>95</xdr:row>
      <xdr:rowOff>50401</xdr:rowOff>
    </xdr:to>
    <xdr:graphicFrame macro="">
      <xdr:nvGraphicFramePr>
        <xdr:cNvPr id="8" name="Chart 7">
          <a:extLst>
            <a:ext uri="{FF2B5EF4-FFF2-40B4-BE49-F238E27FC236}">
              <a16:creationId xmlns:a16="http://schemas.microsoft.com/office/drawing/2014/main" id="{C2F274BF-E4A0-4E2F-BF9A-A099D9451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58486</xdr:colOff>
      <xdr:row>97</xdr:row>
      <xdr:rowOff>11054</xdr:rowOff>
    </xdr:from>
    <xdr:to>
      <xdr:col>15</xdr:col>
      <xdr:colOff>381000</xdr:colOff>
      <xdr:row>122</xdr:row>
      <xdr:rowOff>42546</xdr:rowOff>
    </xdr:to>
    <xdr:graphicFrame macro="">
      <xdr:nvGraphicFramePr>
        <xdr:cNvPr id="9" name="Chart 8">
          <a:extLst>
            <a:ext uri="{FF2B5EF4-FFF2-40B4-BE49-F238E27FC236}">
              <a16:creationId xmlns:a16="http://schemas.microsoft.com/office/drawing/2014/main" id="{F0A7AD4C-879D-4A38-8954-AEC7D090A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128351</xdr:colOff>
      <xdr:row>78</xdr:row>
      <xdr:rowOff>55539</xdr:rowOff>
    </xdr:from>
    <xdr:to>
      <xdr:col>15</xdr:col>
      <xdr:colOff>444500</xdr:colOff>
      <xdr:row>95</xdr:row>
      <xdr:rowOff>40472</xdr:rowOff>
    </xdr:to>
    <xdr:graphicFrame macro="">
      <xdr:nvGraphicFramePr>
        <xdr:cNvPr id="10" name="Chart 9">
          <a:extLst>
            <a:ext uri="{FF2B5EF4-FFF2-40B4-BE49-F238E27FC236}">
              <a16:creationId xmlns:a16="http://schemas.microsoft.com/office/drawing/2014/main" id="{FBC2126F-EE99-4BBB-97B0-416F33EC0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42941</xdr:colOff>
      <xdr:row>165</xdr:row>
      <xdr:rowOff>58833</xdr:rowOff>
    </xdr:from>
    <xdr:to>
      <xdr:col>7</xdr:col>
      <xdr:colOff>358929</xdr:colOff>
      <xdr:row>182</xdr:row>
      <xdr:rowOff>104442</xdr:rowOff>
    </xdr:to>
    <xdr:graphicFrame macro="">
      <xdr:nvGraphicFramePr>
        <xdr:cNvPr id="11" name="Chart 10">
          <a:extLst>
            <a:ext uri="{FF2B5EF4-FFF2-40B4-BE49-F238E27FC236}">
              <a16:creationId xmlns:a16="http://schemas.microsoft.com/office/drawing/2014/main" id="{0BC82684-2400-FD18-5B9E-4A20866CB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211667</xdr:colOff>
      <xdr:row>137</xdr:row>
      <xdr:rowOff>6226</xdr:rowOff>
    </xdr:from>
    <xdr:to>
      <xdr:col>7</xdr:col>
      <xdr:colOff>340153</xdr:colOff>
      <xdr:row>154</xdr:row>
      <xdr:rowOff>113483</xdr:rowOff>
    </xdr:to>
    <xdr:graphicFrame macro="">
      <xdr:nvGraphicFramePr>
        <xdr:cNvPr id="12" name="Chart 11">
          <a:extLst>
            <a:ext uri="{FF2B5EF4-FFF2-40B4-BE49-F238E27FC236}">
              <a16:creationId xmlns:a16="http://schemas.microsoft.com/office/drawing/2014/main" id="{D2EC5153-FE3F-4CDB-8F07-B69BFDEF4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503144</xdr:colOff>
      <xdr:row>137</xdr:row>
      <xdr:rowOff>106652</xdr:rowOff>
    </xdr:from>
    <xdr:to>
      <xdr:col>15</xdr:col>
      <xdr:colOff>194360</xdr:colOff>
      <xdr:row>154</xdr:row>
      <xdr:rowOff>98303</xdr:rowOff>
    </xdr:to>
    <xdr:graphicFrame macro="">
      <xdr:nvGraphicFramePr>
        <xdr:cNvPr id="13" name="Chart 12">
          <a:extLst>
            <a:ext uri="{FF2B5EF4-FFF2-40B4-BE49-F238E27FC236}">
              <a16:creationId xmlns:a16="http://schemas.microsoft.com/office/drawing/2014/main" id="{75C599B3-5667-49DE-BB33-36C94016A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Nip403" id="{24F04F1B-B0AD-4255-A71C-15B0BF188C8B}" userId="Nip403" providerId="Non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https://www.bing.com/financeapi/forcetrigger?t=a22g9c&amp;q=XNAS%3aSAIA&amp;form=skydnc</v>
    <v>Learn more on Bing</v>
  </rv>
  <rv s="1">
    <v>en-GB</v>
    <v>a22g9c</v>
    <v>268435456</v>
    <v>1</v>
    <v>Powered by Refinitiv</v>
    <v>0</v>
    <v>SAIA, INC. (XNAS:SAIA)</v>
    <v>2</v>
    <v>3</v>
    <v>Finance</v>
    <v>4</v>
    <v>624.54989999999998</v>
    <v>229.12</v>
    <v>2.0979999999999999</v>
    <v>0.46</v>
    <v>1.596E-3</v>
    <v>USD</v>
    <v>Saia, Inc. is a transportation company. The Company provides less-than-truckload (LTL) services through a single integrated organization. It offers customers a wide range of other value-added services, including non-asset truckload, expedited and logistics services across North America. Saia Motor Freight Line, LLC (Saia LTL Freight), a subsidiary of the Company, is an LTL carrier that provides direct service to the 48 contiguous states and provides LTL services to Canada and Mexico through relationships with third-party interline carriers. Saia LTL Freight specializes in offering its customers a range of LTL services, including time-definite and expedited options. Saia LTL Freight provides its customers with solutions for shipments between 100 and 10,000 pounds. Saia LTL Freight operates a network comprised of 213 owned and leased terminals, plus three general offices and one warehouse and owns over 6,600 tractors and 26,200 trailers, including equipment acquired with finance leases.</v>
    <v>15300</v>
    <v>Nasdaq Stock Market</v>
    <v>XNAS</v>
    <v>XNAS</v>
    <v>11465 Johns Creek Pkwy Ste 400, JOHNS CREEK, GA, 30097-1572 US</v>
    <v>288.87</v>
    <v>Freight &amp; Logistics Services</v>
    <v>Stock</v>
    <v>45966.712553714846</v>
    <v>0</v>
    <v>275.11</v>
    <v>7691463741</v>
    <v>SAIA, INC.</v>
    <v>SAIA, INC.</v>
    <v>284.70999999999998</v>
    <v>27.284300000000002</v>
    <v>288.23</v>
    <v>288.69</v>
    <v>26642640</v>
    <v>SAIA</v>
    <v>SAIA, INC. (XNAS:SAIA)</v>
    <v>153325</v>
    <v>565563</v>
    <v>2000</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690EB2-9778-4DCC-B401-BC1736BB268E}" name="Table1" displayName="Table1" ref="B12:E17" totalsRowShown="0" headerRowDxfId="2">
  <autoFilter ref="B12:E17" xr:uid="{7E690EB2-9778-4DCC-B401-BC1736BB268E}">
    <filterColumn colId="0" hiddenButton="1"/>
    <filterColumn colId="1" hiddenButton="1"/>
    <filterColumn colId="2" hiddenButton="1"/>
    <filterColumn colId="3" hiddenButton="1"/>
  </autoFilter>
  <tableColumns count="4">
    <tableColumn id="1" xr3:uid="{EB3AD030-806C-4334-910F-423224284040}" name="ID" dataDxfId="1"/>
    <tableColumn id="2" xr3:uid="{46619BD9-28EB-492F-827A-9D1B07342A8C}" name="Scenario" dataDxfId="0"/>
    <tableColumn id="3" xr3:uid="{436E63B2-29D6-4053-B95F-C74E442ED815}" name="CAGR"/>
    <tableColumn id="4" xr3:uid="{7E0B96BA-E895-4B98-BE08-DCD83D088B6B}" name="Notes"/>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7" dT="2025-10-26T02:33:58.02" personId="{24F04F1B-B0AD-4255-A71C-15B0BF188C8B}" id="{0635B200-E6E8-456F-9FEF-7D6011915865}">
    <text>Net Income / (Debt + Equity)</text>
  </threadedComment>
</ThreadedComments>
</file>

<file path=xl/threadedComments/threadedComment2.xml><?xml version="1.0" encoding="utf-8"?>
<ThreadedComments xmlns="http://schemas.microsoft.com/office/spreadsheetml/2018/threadedcomments" xmlns:x="http://schemas.openxmlformats.org/spreadsheetml/2006/main">
  <threadedComment ref="C8" dT="2025-10-25T22:24:29.48" personId="{24F04F1B-B0AD-4255-A71C-15B0BF188C8B}" id="{585373AA-8664-47B1-B120-B8CEC9148E35}">
    <text>US 10 Year Yield as of Oct 24, 2025</text>
  </threadedComment>
</ThreadedComments>
</file>

<file path=xl/threadedComments/threadedComment3.xml><?xml version="1.0" encoding="utf-8"?>
<ThreadedComments xmlns="http://schemas.microsoft.com/office/spreadsheetml/2018/threadedcomments" xmlns:x="http://schemas.openxmlformats.org/spreadsheetml/2006/main">
  <threadedComment ref="C24" dT="2025-10-26T01:25:04.75" personId="{24F04F1B-B0AD-4255-A71C-15B0BF188C8B}" id="{E27FCF64-C6FB-48FB-9384-FA44FF3CB299}">
    <text>291.98 as of Oct 26, 2025</text>
  </threadedComment>
</ThreadedComments>
</file>

<file path=xl/threadedComments/threadedComment4.xml><?xml version="1.0" encoding="utf-8"?>
<ThreadedComments xmlns="http://schemas.microsoft.com/office/spreadsheetml/2018/threadedcomments" xmlns:x="http://schemas.openxmlformats.org/spreadsheetml/2006/main">
  <threadedComment ref="B6" dT="2025-10-25T22:26:30.88" personId="{24F04F1B-B0AD-4255-A71C-15B0BF188C8B}" id="{F73EC583-7F51-4D5C-BC93-0E321B498A4F}">
    <text>As the performance of the S&amp;P 500 is currently dominated by the Mag 7, it would be more accurate to use a different benchmark (here, the Dow Jones Transportation Average DJT)
Market return and beta is calculated using a script, see saia.py.</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72E3B-000B-4D0E-B9A7-69F8DF8BE35A}">
  <sheetPr>
    <tabColor theme="0"/>
  </sheetPr>
  <dimension ref="B2:L163"/>
  <sheetViews>
    <sheetView showGridLines="0" tabSelected="1" zoomScale="101" zoomScaleNormal="113" workbookViewId="0">
      <selection activeCell="C5" sqref="C5"/>
    </sheetView>
  </sheetViews>
  <sheetFormatPr defaultRowHeight="12.75" x14ac:dyDescent="0.2"/>
  <cols>
    <col min="1" max="1" width="3.42578125" customWidth="1"/>
    <col min="2" max="2" width="28.5703125" customWidth="1"/>
    <col min="3" max="3" width="9.42578125" bestFit="1" customWidth="1"/>
  </cols>
  <sheetData>
    <row r="2" spans="2:5" ht="20.25" x14ac:dyDescent="0.2">
      <c r="B2" s="167" t="s">
        <v>228</v>
      </c>
      <c r="C2" s="147"/>
      <c r="D2" s="147"/>
      <c r="E2" s="147"/>
    </row>
    <row r="4" spans="2:5" x14ac:dyDescent="0.2">
      <c r="B4" s="5" t="s">
        <v>203</v>
      </c>
      <c r="C4" s="29">
        <f>DCF!C22</f>
        <v>377.1684749614659</v>
      </c>
    </row>
    <row r="5" spans="2:5" x14ac:dyDescent="0.2">
      <c r="B5" s="5" t="s">
        <v>202</v>
      </c>
      <c r="C5" s="96">
        <f ca="1">DCF!C25</f>
        <v>0.30856772355919193</v>
      </c>
    </row>
    <row r="6" spans="2:5" x14ac:dyDescent="0.2">
      <c r="B6" s="5"/>
      <c r="C6" s="96"/>
    </row>
    <row r="7" spans="2:5" x14ac:dyDescent="0.2">
      <c r="B7" s="5" t="s">
        <v>221</v>
      </c>
      <c r="C7" s="52">
        <f>IS!G36/SUM(BS!G42,BS!G30:G31,BS!G26:G27)</f>
        <v>0.13736775510436366</v>
      </c>
    </row>
    <row r="8" spans="2:5" x14ac:dyDescent="0.2">
      <c r="B8" s="5" t="s">
        <v>222</v>
      </c>
      <c r="C8" s="52">
        <f>IS!G36/BS!G42</f>
        <v>0.15665190278422564</v>
      </c>
    </row>
    <row r="9" spans="2:5" x14ac:dyDescent="0.2">
      <c r="B9" s="5" t="s">
        <v>227</v>
      </c>
      <c r="C9" s="52">
        <f>IS!G24/IS!G5</f>
        <v>0.8497510496797519</v>
      </c>
    </row>
    <row r="10" spans="2:5" x14ac:dyDescent="0.2">
      <c r="B10" s="5"/>
      <c r="C10" s="52"/>
    </row>
    <row r="11" spans="2:5" x14ac:dyDescent="0.2">
      <c r="B11" s="5"/>
      <c r="C11" s="165" t="s">
        <v>232</v>
      </c>
      <c r="D11" s="166" t="s">
        <v>234</v>
      </c>
    </row>
    <row r="12" spans="2:5" x14ac:dyDescent="0.2">
      <c r="B12" s="5" t="s">
        <v>229</v>
      </c>
      <c r="C12" s="164">
        <f>(292*IS!G40+WACC!C13-BS!G6)/IS!G38</f>
        <v>11.71349555444808</v>
      </c>
      <c r="D12" s="3">
        <f>DCF!C19/IS!G38</f>
        <v>15.05857506289818</v>
      </c>
    </row>
    <row r="13" spans="2:5" x14ac:dyDescent="0.2">
      <c r="B13" s="5" t="s">
        <v>230</v>
      </c>
      <c r="C13" s="164">
        <f>IS!G47</f>
        <v>33.58</v>
      </c>
      <c r="D13" s="3">
        <f>DCF!C22/IS!G44</f>
        <v>27.917725755844998</v>
      </c>
    </row>
    <row r="14" spans="2:5" x14ac:dyDescent="0.2">
      <c r="B14" s="5" t="s">
        <v>231</v>
      </c>
      <c r="C14" s="164">
        <f>(292*IS!G40+WACC!C13-BS!G6)/IS!G5</f>
        <v>2.5268482434496682</v>
      </c>
      <c r="D14" s="3">
        <f>DCF!C19/IS!G5</f>
        <v>3.2484525024718063</v>
      </c>
    </row>
    <row r="15" spans="2:5" x14ac:dyDescent="0.2">
      <c r="B15" s="5" t="s">
        <v>233</v>
      </c>
      <c r="C15" s="164" cm="1">
        <f t="array" ref="C15">(292/IS!G41)/((POWER(PRODUCT(1+IS!E45:G45),1/3)-1)*100)</f>
        <v>1.7168250930399378</v>
      </c>
      <c r="D15" s="3">
        <f>(DCF!C22/IS!G44)/(GEOMEAN(IS!H45:L45)*100)</f>
        <v>2.3685154682381611</v>
      </c>
    </row>
    <row r="16" spans="2:5" x14ac:dyDescent="0.2">
      <c r="B16" s="1"/>
      <c r="C16" s="52"/>
    </row>
    <row r="26" spans="2:2" x14ac:dyDescent="0.2">
      <c r="B26" s="5"/>
    </row>
    <row r="36" spans="2:2" ht="20.25" x14ac:dyDescent="0.2">
      <c r="B36" s="167" t="s">
        <v>235</v>
      </c>
    </row>
    <row r="126" spans="2:3" ht="20.25" x14ac:dyDescent="0.3">
      <c r="B126" s="168" t="s">
        <v>132</v>
      </c>
    </row>
    <row r="128" spans="2:3" x14ac:dyDescent="0.2">
      <c r="B128" t="s">
        <v>115</v>
      </c>
      <c r="C128" s="2">
        <f>BS!G34</f>
        <v>855586</v>
      </c>
    </row>
    <row r="129" spans="2:3" x14ac:dyDescent="0.2">
      <c r="B129" t="s">
        <v>116</v>
      </c>
      <c r="C129" s="2">
        <f>BS!G42</f>
        <v>2311271</v>
      </c>
    </row>
    <row r="131" spans="2:3" x14ac:dyDescent="0.2">
      <c r="B131" t="s">
        <v>117</v>
      </c>
      <c r="C131" s="164">
        <f>C128/C129</f>
        <v>0.37017987072913561</v>
      </c>
    </row>
    <row r="132" spans="2:3" x14ac:dyDescent="0.2">
      <c r="B132" t="s">
        <v>118</v>
      </c>
      <c r="C132" s="164">
        <f>C128/(C129+C128)</f>
        <v>0.27016881406391258</v>
      </c>
    </row>
    <row r="133" spans="2:3" x14ac:dyDescent="0.2">
      <c r="B133" t="s">
        <v>244</v>
      </c>
      <c r="C133" s="29">
        <f>SUM(BS!G6)/BS!G28</f>
        <v>6.9956171863773536E-2</v>
      </c>
    </row>
    <row r="134" spans="2:3" x14ac:dyDescent="0.2">
      <c r="B134" t="s">
        <v>245</v>
      </c>
      <c r="C134" s="3">
        <f>BS!G11/BS!G28</f>
        <v>1.5654871389567466</v>
      </c>
    </row>
    <row r="135" spans="2:3" x14ac:dyDescent="0.2">
      <c r="B135" t="s">
        <v>246</v>
      </c>
      <c r="C135" s="3">
        <f>BS!G34/BS!G19</f>
        <v>0.27016881406391258</v>
      </c>
    </row>
    <row r="136" spans="2:3" x14ac:dyDescent="0.2">
      <c r="B136" t="s">
        <v>247</v>
      </c>
      <c r="C136" s="3">
        <f>SUM(BS!G30:G33)/SUM(BS!G30:G33,BS!G38:G39)</f>
        <v>0.66168400853318421</v>
      </c>
    </row>
    <row r="158" spans="2:12" ht="20.25" x14ac:dyDescent="0.3">
      <c r="B158" s="168" t="s">
        <v>204</v>
      </c>
    </row>
    <row r="160" spans="2:12" x14ac:dyDescent="0.2">
      <c r="B160" s="149" t="s">
        <v>133</v>
      </c>
      <c r="C160" s="173">
        <v>2020</v>
      </c>
      <c r="D160" s="173">
        <v>2021</v>
      </c>
      <c r="E160" s="173">
        <v>2022</v>
      </c>
      <c r="F160" s="173">
        <v>2023</v>
      </c>
      <c r="G160" s="171">
        <v>2024</v>
      </c>
      <c r="H160" s="148">
        <v>2025</v>
      </c>
      <c r="I160" s="148">
        <v>2026</v>
      </c>
      <c r="J160" s="148">
        <v>2027</v>
      </c>
      <c r="K160" s="148">
        <v>2028</v>
      </c>
      <c r="L160" s="148">
        <v>2029</v>
      </c>
    </row>
    <row r="161" spans="2:12" x14ac:dyDescent="0.2">
      <c r="B161" s="150" t="s">
        <v>240</v>
      </c>
      <c r="C161" s="60">
        <f>IS!C24/1000000</f>
        <v>1.642045</v>
      </c>
      <c r="D161" s="60">
        <f>IS!D24/1000000</f>
        <v>1.9535629999999999</v>
      </c>
      <c r="E161" s="60">
        <f>IS!E24/1000000</f>
        <v>2.3215690000000002</v>
      </c>
      <c r="F161" s="60">
        <f>IS!F24/1000000</f>
        <v>2.4209369999999999</v>
      </c>
      <c r="G161" s="49">
        <f>IS!G24/1000000</f>
        <v>2.7269139999999998</v>
      </c>
      <c r="H161" s="29">
        <f>IS!H24/1000000</f>
        <v>2.9998006411384108</v>
      </c>
      <c r="I161" s="29">
        <f>IS!I24/1000000</f>
        <v>3.2461326045352443</v>
      </c>
      <c r="J161" s="29">
        <f>IS!J24/1000000</f>
        <v>3.5169471352806099</v>
      </c>
      <c r="K161" s="29">
        <f>IS!K24/1000000</f>
        <v>3.8144369695727192</v>
      </c>
      <c r="L161" s="29">
        <f>IS!L24/1000000</f>
        <v>4.1410024684359827</v>
      </c>
    </row>
    <row r="162" spans="2:12" x14ac:dyDescent="0.2">
      <c r="B162" s="151" t="s">
        <v>241</v>
      </c>
      <c r="C162" s="60">
        <f>IS!C5/1000000</f>
        <v>1.8223659999999999</v>
      </c>
      <c r="D162" s="60">
        <f>IS!D5/1000000</f>
        <v>2.2887040000000001</v>
      </c>
      <c r="E162" s="60">
        <f>IS!E5/1000000</f>
        <v>2.7920569999999998</v>
      </c>
      <c r="F162" s="60">
        <f>IS!F5/1000000</f>
        <v>2.8814329999999999</v>
      </c>
      <c r="G162" s="49">
        <f>IS!G5/1000000</f>
        <v>3.2090740000000002</v>
      </c>
      <c r="H162" s="60">
        <f>IS!H5/1000000</f>
        <v>3.5070419317356745</v>
      </c>
      <c r="I162" s="60">
        <f>IS!I5/1000000</f>
        <v>3.8326766883382222</v>
      </c>
      <c r="J162" s="60">
        <f>IS!J5/1000000</f>
        <v>4.1885471811457027</v>
      </c>
      <c r="K162" s="60">
        <f>IS!K5/1000000</f>
        <v>4.5774608492453712</v>
      </c>
      <c r="L162" s="60">
        <f>IS!L5/1000000</f>
        <v>5.0024858071773686</v>
      </c>
    </row>
    <row r="163" spans="2:12" x14ac:dyDescent="0.2">
      <c r="B163" s="151" t="s">
        <v>134</v>
      </c>
      <c r="C163" s="174">
        <f>(IS!C5-IS!C18)/IS!C18</f>
        <v>0.20692986412735745</v>
      </c>
      <c r="D163" s="174">
        <f>(IS!D5-IS!D18)/IS!D18</f>
        <v>0.26046723505663971</v>
      </c>
      <c r="E163" s="174">
        <f>(IS!E5-IS!E18)/IS!E18</f>
        <v>0.29004074736848956</v>
      </c>
      <c r="F163" s="174">
        <f>(IS!F5-IS!F18)/IS!F18</f>
        <v>0.2856753494657906</v>
      </c>
      <c r="G163" s="172">
        <f>(IS!G5-IS!G18)/IS!G18</f>
        <v>0.27732844733878931</v>
      </c>
      <c r="H163" s="52">
        <f>(IS!H5-IS!H18)/IS!H18</f>
        <v>0.32913804658174789</v>
      </c>
      <c r="I163" s="52">
        <f>(IS!I5-IS!I18)/IS!I18</f>
        <v>0.34414986464801317</v>
      </c>
      <c r="J163" s="52">
        <f>(IS!J5-IS!J18)/IS!J18</f>
        <v>0.35747765866037978</v>
      </c>
      <c r="K163" s="52">
        <f>(IS!K5-IS!K18)/IS!K18</f>
        <v>0.36927991918379022</v>
      </c>
      <c r="L163" s="52">
        <f>(IS!L5-IS!L18)/IS!L18</f>
        <v>0.37970745997577915</v>
      </c>
    </row>
  </sheetData>
  <pageMargins left="0.7" right="0.7" top="0.75" bottom="0.75" header="0.3" footer="0.3"/>
  <ignoredErrors>
    <ignoredError sqref="C136 C7" formulaRange="1"/>
  </ignoredErrors>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BAE00-C54A-42E1-A5C0-F95D5FC0833D}">
  <dimension ref="A2:M56"/>
  <sheetViews>
    <sheetView topLeftCell="A38" zoomScale="152" zoomScaleNormal="224" workbookViewId="0">
      <selection activeCell="H49" sqref="H49"/>
    </sheetView>
  </sheetViews>
  <sheetFormatPr defaultRowHeight="12.75" x14ac:dyDescent="0.2"/>
  <cols>
    <col min="1" max="1" width="12.140625" bestFit="1" customWidth="1"/>
    <col min="3" max="3" width="10.140625" customWidth="1"/>
    <col min="4" max="4" width="10.28515625" customWidth="1"/>
    <col min="8" max="8" width="14.5703125" bestFit="1" customWidth="1"/>
  </cols>
  <sheetData>
    <row r="2" spans="1:11" x14ac:dyDescent="0.2">
      <c r="B2" s="161" t="s">
        <v>219</v>
      </c>
      <c r="C2" s="161" t="s">
        <v>215</v>
      </c>
      <c r="D2" s="161" t="s">
        <v>208</v>
      </c>
      <c r="E2" s="161" t="s">
        <v>209</v>
      </c>
      <c r="F2" s="161" t="s">
        <v>207</v>
      </c>
      <c r="G2" s="161" t="s">
        <v>216</v>
      </c>
      <c r="H2" s="161" t="s">
        <v>220</v>
      </c>
    </row>
    <row r="3" spans="1:11" x14ac:dyDescent="0.2">
      <c r="B3" t="s">
        <v>218</v>
      </c>
      <c r="C3" s="52">
        <v>-0.45732584423590661</v>
      </c>
      <c r="D3" s="52">
        <v>1.866566203164588E-2</v>
      </c>
      <c r="E3" s="163">
        <v>0.2918</v>
      </c>
      <c r="F3" s="163">
        <v>0.43845468867730664</v>
      </c>
      <c r="G3" s="163">
        <v>0.94687992328241655</v>
      </c>
      <c r="H3" s="162">
        <v>1</v>
      </c>
    </row>
    <row r="4" spans="1:11" x14ac:dyDescent="0.2">
      <c r="B4" t="s">
        <v>217</v>
      </c>
      <c r="C4" s="52">
        <v>-2.2878279334200946E-2</v>
      </c>
      <c r="D4" s="52">
        <v>0.12815946297691605</v>
      </c>
      <c r="E4" s="163">
        <v>0.2918</v>
      </c>
      <c r="F4" s="163">
        <v>0.46876498390300703</v>
      </c>
      <c r="G4" s="163">
        <v>0.65994246181245275</v>
      </c>
      <c r="H4" s="162">
        <v>2</v>
      </c>
    </row>
    <row r="5" spans="1:11" x14ac:dyDescent="0.2">
      <c r="B5" t="s">
        <v>193</v>
      </c>
      <c r="C5" s="96">
        <v>0.15559999999999999</v>
      </c>
      <c r="D5" s="96">
        <v>0.21010000000000001</v>
      </c>
      <c r="E5" s="96">
        <v>0.2918</v>
      </c>
      <c r="F5" s="96">
        <v>0.36130000000000001</v>
      </c>
      <c r="G5" s="96">
        <v>0.41249999999999998</v>
      </c>
      <c r="H5" s="162">
        <v>3</v>
      </c>
    </row>
    <row r="7" spans="1:11" x14ac:dyDescent="0.2">
      <c r="A7" s="1" t="s">
        <v>223</v>
      </c>
      <c r="B7" t="s">
        <v>218</v>
      </c>
      <c r="C7" t="s">
        <v>217</v>
      </c>
      <c r="D7" t="s">
        <v>193</v>
      </c>
    </row>
    <row r="8" spans="1:11" x14ac:dyDescent="0.2">
      <c r="B8">
        <v>-0.45732584423590661</v>
      </c>
      <c r="C8">
        <v>-2.2878279334200946E-2</v>
      </c>
      <c r="D8">
        <v>0.15559999999999999</v>
      </c>
    </row>
    <row r="9" spans="1:11" x14ac:dyDescent="0.2">
      <c r="B9">
        <v>1.866566203164588E-2</v>
      </c>
      <c r="C9">
        <v>0.12815946297691605</v>
      </c>
      <c r="D9">
        <v>0.21010000000000001</v>
      </c>
    </row>
    <row r="10" spans="1:11" x14ac:dyDescent="0.2">
      <c r="B10">
        <v>0.2918</v>
      </c>
      <c r="C10">
        <v>0.2918</v>
      </c>
      <c r="D10">
        <v>0.2918</v>
      </c>
    </row>
    <row r="11" spans="1:11" x14ac:dyDescent="0.2">
      <c r="B11">
        <v>0.43845468867730664</v>
      </c>
      <c r="C11">
        <v>0.46876498390300703</v>
      </c>
      <c r="D11">
        <v>0.36130000000000001</v>
      </c>
    </row>
    <row r="12" spans="1:11" x14ac:dyDescent="0.2">
      <c r="B12">
        <v>0.94687992328241655</v>
      </c>
      <c r="C12">
        <v>0.65994246181245275</v>
      </c>
      <c r="D12">
        <v>0.41249999999999998</v>
      </c>
    </row>
    <row r="14" spans="1:11" x14ac:dyDescent="0.2">
      <c r="B14">
        <v>2020</v>
      </c>
      <c r="C14">
        <v>2021</v>
      </c>
      <c r="D14">
        <v>2022</v>
      </c>
      <c r="E14">
        <v>2023</v>
      </c>
      <c r="F14">
        <v>2024</v>
      </c>
      <c r="G14">
        <v>2025</v>
      </c>
      <c r="H14">
        <v>2026</v>
      </c>
      <c r="I14">
        <v>2027</v>
      </c>
      <c r="J14">
        <v>2028</v>
      </c>
      <c r="K14">
        <v>2029</v>
      </c>
    </row>
    <row r="15" spans="1:11" x14ac:dyDescent="0.2">
      <c r="A15" s="1" t="s">
        <v>221</v>
      </c>
      <c r="B15" s="52">
        <f>IS!C36/SUM(BS!C42,BS!C30:C31,BS!C26:C27)</f>
        <v>0.12052685412190689</v>
      </c>
      <c r="C15" s="52">
        <f>IS!D36/SUM(BS!D42,BS!D30:D31,BS!D26:D27)</f>
        <v>0.18340912761613401</v>
      </c>
      <c r="D15" s="52">
        <f>IS!E36/SUM(BS!E42,BS!E30:E31,BS!E26:E27)</f>
        <v>0.20614295889794707</v>
      </c>
      <c r="E15" s="52">
        <f>IS!F36/SUM(BS!F42,BS!F30:F31,BS!F26:F27)</f>
        <v>0.17058784223255349</v>
      </c>
      <c r="F15" s="52">
        <f>IS!G36/SUM(BS!G42,BS!G30:G31,BS!G26:G27)</f>
        <v>0.13736775510436366</v>
      </c>
      <c r="G15" s="52">
        <f>IS!H25/($I$22*POWER(1+$J$22,COLUMN(G13)-COLUMN($F$13)))</f>
        <v>0.14166671837205444</v>
      </c>
      <c r="H15" s="52">
        <f>IS!I25/($I$22*POWER(1+$J$22,COLUMN(H13)-COLUMN($F$13)))</f>
        <v>0.14488905562024604</v>
      </c>
      <c r="I15" s="52">
        <f>IS!J25/($I$22*POWER(1+$J$22,COLUMN(I13)-COLUMN($F$13)))</f>
        <v>0.14673284169253728</v>
      </c>
      <c r="J15" s="52">
        <f>IS!K25/($I$22*POWER(1+$J$22,COLUMN(J13)-COLUMN($F$13)))</f>
        <v>0.14744716587292184</v>
      </c>
      <c r="K15" s="52">
        <f>IS!L25/($I$22*POWER(1+$J$22,COLUMN(K13)-COLUMN($F$13)))</f>
        <v>0.14724035979985084</v>
      </c>
    </row>
    <row r="16" spans="1:11" x14ac:dyDescent="0.2">
      <c r="A16" s="1" t="s">
        <v>222</v>
      </c>
      <c r="B16" s="52">
        <f>IS!C36/BS!C42</f>
        <v>0.14391108595967078</v>
      </c>
      <c r="C16" s="52">
        <f>IS!D36/BS!D42</f>
        <v>0.20751303127916723</v>
      </c>
      <c r="D16" s="52">
        <f>IS!E36/BS!E42</f>
        <v>0.22631084737241672</v>
      </c>
      <c r="E16" s="52">
        <f>IS!F36/BS!F42</f>
        <v>0.18277522361645207</v>
      </c>
      <c r="F16" s="52">
        <f>IS!G36/BS!G42</f>
        <v>0.15665190278422564</v>
      </c>
      <c r="G16" s="52">
        <f>IS!H25/($I$21*POWER(1+$J$21,COLUMN(G13)-COLUMN($F$13)))</f>
        <v>0.18855848149619225</v>
      </c>
      <c r="H16" s="52">
        <f>IS!I25/($I$21*POWER(1+$J$21,COLUMN(H13)-COLUMN($F$13)))</f>
        <v>0.18733308068694063</v>
      </c>
      <c r="I16" s="52">
        <f>IS!J25/($I$21*POWER(1+$J$21,COLUMN(I13)-COLUMN($F$13)))</f>
        <v>0.18429216710688573</v>
      </c>
      <c r="J16" s="52">
        <f>IS!K25/($I$21*POWER(1+$J$21,COLUMN(J13)-COLUMN($F$13)))</f>
        <v>0.17989398115214975</v>
      </c>
      <c r="K16" s="52">
        <f>IS!L25/($I$21*POWER(1+$J$21,COLUMN(K13)-COLUMN($F$13)))</f>
        <v>0.17450494131580821</v>
      </c>
    </row>
    <row r="17" spans="1:13" x14ac:dyDescent="0.2">
      <c r="C17" s="52"/>
      <c r="D17" s="52"/>
      <c r="E17" s="52"/>
      <c r="F17" s="52"/>
      <c r="G17" s="52"/>
    </row>
    <row r="18" spans="1:13" x14ac:dyDescent="0.2">
      <c r="A18" t="s">
        <v>226</v>
      </c>
    </row>
    <row r="20" spans="1:13" x14ac:dyDescent="0.2">
      <c r="C20" s="96"/>
      <c r="D20" s="96"/>
    </row>
    <row r="21" spans="1:13" ht="13.5" thickBot="1" x14ac:dyDescent="0.25">
      <c r="D21" s="1" t="s">
        <v>225</v>
      </c>
      <c r="E21" s="47">
        <v>961288</v>
      </c>
      <c r="F21" s="47">
        <v>1220333</v>
      </c>
      <c r="G21" s="47">
        <v>1579341</v>
      </c>
      <c r="H21" s="47">
        <v>1941494</v>
      </c>
      <c r="I21" s="47">
        <v>2311271</v>
      </c>
      <c r="J21" s="52" cm="1">
        <f t="array" ref="J21">AVERAGE(F21:I21/E21:H21-1)/1.5</f>
        <v>0.16390532909589939</v>
      </c>
      <c r="K21" s="52"/>
      <c r="L21" s="52"/>
      <c r="M21" s="52"/>
    </row>
    <row r="22" spans="1:13" ht="14.25" thickTop="1" thickBot="1" x14ac:dyDescent="0.25">
      <c r="D22" s="1" t="s">
        <v>224</v>
      </c>
      <c r="E22" s="51">
        <v>1548774</v>
      </c>
      <c r="F22" s="51">
        <v>1845250</v>
      </c>
      <c r="G22" s="51">
        <v>2174710</v>
      </c>
      <c r="H22" s="51">
        <v>2583565</v>
      </c>
      <c r="I22" s="51">
        <v>3166857</v>
      </c>
      <c r="J22" s="52" cm="1">
        <f t="array" ref="J22">(AVERAGE(F22:I22/E22:H22)-1)/1.5</f>
        <v>0.13062429100518683</v>
      </c>
    </row>
    <row r="23" spans="1:13" ht="13.5" thickTop="1" x14ac:dyDescent="0.2">
      <c r="E23" s="2"/>
      <c r="F23" s="52"/>
      <c r="G23" s="52"/>
      <c r="H23" s="52"/>
      <c r="I23" s="52"/>
    </row>
    <row r="24" spans="1:13" x14ac:dyDescent="0.2">
      <c r="E24" s="2"/>
      <c r="F24" s="2"/>
      <c r="G24" s="2"/>
      <c r="I24" s="2"/>
    </row>
    <row r="25" spans="1:13" x14ac:dyDescent="0.2">
      <c r="C25">
        <v>2020</v>
      </c>
      <c r="D25">
        <v>2021</v>
      </c>
      <c r="E25">
        <v>2022</v>
      </c>
      <c r="F25">
        <v>2023</v>
      </c>
      <c r="G25">
        <v>2024</v>
      </c>
      <c r="H25">
        <v>2025</v>
      </c>
      <c r="I25">
        <v>2026</v>
      </c>
      <c r="J25">
        <v>2027</v>
      </c>
      <c r="K25">
        <v>2028</v>
      </c>
      <c r="L25">
        <v>2029</v>
      </c>
    </row>
    <row r="26" spans="1:13" x14ac:dyDescent="0.2">
      <c r="B26" s="29" t="s">
        <v>34</v>
      </c>
      <c r="C26" s="18">
        <v>963260</v>
      </c>
      <c r="D26" s="18">
        <v>1063703</v>
      </c>
      <c r="E26" s="2">
        <v>1169539</v>
      </c>
      <c r="F26" s="2">
        <v>1301280</v>
      </c>
      <c r="G26" s="2">
        <v>1487847</v>
      </c>
      <c r="H26" s="2">
        <v>1593251.8520721712</v>
      </c>
      <c r="I26" s="2">
        <v>1741187.9729269654</v>
      </c>
      <c r="J26" s="2">
        <v>1902860.2120389582</v>
      </c>
      <c r="K26" s="2">
        <v>2079543.9911488683</v>
      </c>
      <c r="L26" s="2">
        <v>2272633.1570565342</v>
      </c>
    </row>
    <row r="27" spans="1:13" x14ac:dyDescent="0.2">
      <c r="B27" s="29" t="s">
        <v>35</v>
      </c>
      <c r="C27" s="18">
        <v>141369</v>
      </c>
      <c r="D27" s="18">
        <v>249710</v>
      </c>
      <c r="E27" s="2">
        <v>315896</v>
      </c>
      <c r="F27" s="2">
        <v>238688</v>
      </c>
      <c r="G27" s="2">
        <v>237306</v>
      </c>
      <c r="H27" s="2">
        <v>225440.69999999998</v>
      </c>
      <c r="I27" s="2">
        <v>214168.66499999998</v>
      </c>
      <c r="J27" s="2">
        <v>203460</v>
      </c>
      <c r="K27" s="2">
        <v>193287.22016249996</v>
      </c>
      <c r="L27" s="2">
        <v>183622.85915437495</v>
      </c>
    </row>
    <row r="28" spans="1:13" x14ac:dyDescent="0.2">
      <c r="B28" s="29" t="s">
        <v>36</v>
      </c>
      <c r="C28" s="18">
        <v>299234</v>
      </c>
      <c r="D28" s="18">
        <v>381904</v>
      </c>
      <c r="E28" s="2">
        <v>558456</v>
      </c>
      <c r="F28" s="2">
        <v>563688</v>
      </c>
      <c r="G28" s="2">
        <v>629402</v>
      </c>
      <c r="H28" s="2">
        <v>644907.76686268847</v>
      </c>
      <c r="I28" s="2">
        <v>704788.54039809096</v>
      </c>
      <c r="J28" s="2">
        <v>770229.34472152626</v>
      </c>
      <c r="K28" s="2">
        <v>841746.43806645914</v>
      </c>
      <c r="L28" s="2">
        <v>919904.01411379664</v>
      </c>
    </row>
    <row r="29" spans="1:13" x14ac:dyDescent="0.2">
      <c r="B29" s="29" t="s">
        <v>236</v>
      </c>
      <c r="C29" s="2">
        <f>C32+C33</f>
        <v>106055</v>
      </c>
      <c r="D29" s="2">
        <f t="shared" ref="D29:L29" si="0">D32+D33</f>
        <v>120440</v>
      </c>
      <c r="E29" s="2">
        <f t="shared" si="0"/>
        <v>120425</v>
      </c>
      <c r="F29" s="2">
        <f t="shared" si="0"/>
        <v>137526</v>
      </c>
      <c r="G29" s="2">
        <f t="shared" si="0"/>
        <v>157777</v>
      </c>
      <c r="H29" s="2">
        <f t="shared" si="0"/>
        <v>174983.34117104055</v>
      </c>
      <c r="I29" s="2">
        <f t="shared" si="0"/>
        <v>191230.83943905582</v>
      </c>
      <c r="J29" s="2">
        <f t="shared" si="0"/>
        <v>208986.94531624415</v>
      </c>
      <c r="K29" s="2">
        <f t="shared" si="0"/>
        <v>228391.73556278815</v>
      </c>
      <c r="L29" s="2">
        <f t="shared" si="0"/>
        <v>249598.29330223729</v>
      </c>
    </row>
    <row r="32" spans="1:13" x14ac:dyDescent="0.2">
      <c r="B32" s="29" t="s">
        <v>37</v>
      </c>
      <c r="C32" s="18">
        <v>56294</v>
      </c>
      <c r="D32" s="18">
        <v>59095</v>
      </c>
      <c r="E32" s="2">
        <v>63824</v>
      </c>
      <c r="F32" s="2">
        <v>69542</v>
      </c>
      <c r="G32" s="2">
        <v>80128</v>
      </c>
      <c r="H32" s="2">
        <v>89767.488197956685</v>
      </c>
      <c r="I32" s="2">
        <v>98102.550834546477</v>
      </c>
      <c r="J32" s="2">
        <v>107211.53809073429</v>
      </c>
      <c r="K32" s="2">
        <v>117166.310172368</v>
      </c>
      <c r="L32" s="2">
        <v>128045.39962657222</v>
      </c>
    </row>
    <row r="33" spans="1:13" x14ac:dyDescent="0.2">
      <c r="B33" s="29" t="s">
        <v>38</v>
      </c>
      <c r="C33" s="18">
        <v>49761</v>
      </c>
      <c r="D33" s="18">
        <v>61345</v>
      </c>
      <c r="E33" s="2">
        <v>56601</v>
      </c>
      <c r="F33" s="2">
        <v>67984</v>
      </c>
      <c r="G33" s="2">
        <v>77649</v>
      </c>
      <c r="H33" s="2">
        <v>85215.852973083864</v>
      </c>
      <c r="I33" s="2">
        <v>93128.288604509362</v>
      </c>
      <c r="J33" s="2">
        <v>101775.40722550987</v>
      </c>
      <c r="K33" s="2">
        <v>111225.42539042013</v>
      </c>
      <c r="L33" s="2">
        <v>121552.89367566505</v>
      </c>
    </row>
    <row r="36" spans="1:13" x14ac:dyDescent="0.2">
      <c r="B36" t="s">
        <v>238</v>
      </c>
    </row>
    <row r="37" spans="1:13" x14ac:dyDescent="0.2">
      <c r="C37" t="s">
        <v>206</v>
      </c>
      <c r="D37">
        <v>34.18</v>
      </c>
      <c r="E37">
        <v>35.03</v>
      </c>
      <c r="F37">
        <v>15.55</v>
      </c>
      <c r="G37">
        <v>32.9</v>
      </c>
      <c r="H37">
        <v>33.58</v>
      </c>
      <c r="I37">
        <v>20.43520283879657</v>
      </c>
      <c r="J37">
        <v>17.665311033361462</v>
      </c>
      <c r="K37">
        <v>15.429519188073689</v>
      </c>
      <c r="L37">
        <v>13.586988333842214</v>
      </c>
      <c r="M37">
        <v>12.042925445829049</v>
      </c>
    </row>
    <row r="38" spans="1:13" x14ac:dyDescent="0.2">
      <c r="C38" t="s">
        <v>237</v>
      </c>
      <c r="E38">
        <v>0.42559813084112152</v>
      </c>
      <c r="F38">
        <v>0.37605612244897957</v>
      </c>
      <c r="G38">
        <v>-31.489999999999842</v>
      </c>
      <c r="H38">
        <v>17.810832000000062</v>
      </c>
      <c r="I38">
        <v>3.5481742630811843</v>
      </c>
      <c r="J38">
        <v>1.1266260050052093</v>
      </c>
      <c r="K38">
        <v>1.0648131796208955</v>
      </c>
      <c r="L38">
        <v>1.0019167470656238</v>
      </c>
      <c r="M38">
        <v>0.93928851227308374</v>
      </c>
    </row>
    <row r="41" spans="1:13" x14ac:dyDescent="0.2">
      <c r="B41" s="169" t="s">
        <v>239</v>
      </c>
      <c r="C41">
        <v>0</v>
      </c>
      <c r="D41">
        <v>0</v>
      </c>
      <c r="E41">
        <v>0</v>
      </c>
      <c r="F41">
        <v>0</v>
      </c>
      <c r="G41">
        <v>0</v>
      </c>
      <c r="H41">
        <v>0</v>
      </c>
      <c r="I41">
        <v>0</v>
      </c>
      <c r="J41">
        <v>0</v>
      </c>
      <c r="K41">
        <v>0</v>
      </c>
      <c r="L41">
        <v>0</v>
      </c>
    </row>
    <row r="45" spans="1:13" x14ac:dyDescent="0.2">
      <c r="B45" t="s">
        <v>242</v>
      </c>
    </row>
    <row r="47" spans="1:13" x14ac:dyDescent="0.2">
      <c r="A47" t="s">
        <v>243</v>
      </c>
      <c r="C47">
        <v>2020</v>
      </c>
      <c r="D47">
        <v>2021</v>
      </c>
      <c r="E47">
        <v>2022</v>
      </c>
      <c r="F47">
        <v>2023</v>
      </c>
      <c r="G47">
        <v>2024</v>
      </c>
      <c r="H47">
        <v>2025</v>
      </c>
      <c r="I47">
        <v>2026</v>
      </c>
      <c r="J47">
        <v>2027</v>
      </c>
      <c r="K47">
        <v>2028</v>
      </c>
      <c r="L47">
        <v>2029</v>
      </c>
      <c r="M47" s="2"/>
    </row>
    <row r="48" spans="1:13" x14ac:dyDescent="0.2">
      <c r="B48" t="s">
        <v>115</v>
      </c>
      <c r="C48" s="2">
        <f>SUM(BS!C30:C31,BS!C26:C27)</f>
        <v>186506</v>
      </c>
      <c r="D48" s="2">
        <f>SUM(BS!D30:D31,BS!D26:D27)</f>
        <v>160378</v>
      </c>
      <c r="E48" s="2">
        <f>SUM(BS!E30:E31,BS!E26:E27)</f>
        <v>154514</v>
      </c>
      <c r="F48" s="2">
        <f>SUM(BS!F30:F31,BS!F26:F27)</f>
        <v>138707</v>
      </c>
      <c r="G48" s="2">
        <f>SUM(BS!G30:G31,BS!G26:G27)</f>
        <v>324464</v>
      </c>
      <c r="H48" s="2"/>
      <c r="I48" s="2"/>
      <c r="J48" s="2"/>
      <c r="K48" s="2"/>
      <c r="L48" s="2"/>
    </row>
    <row r="49" spans="2:12" x14ac:dyDescent="0.2">
      <c r="B49" t="s">
        <v>116</v>
      </c>
      <c r="C49" s="2">
        <f>BS!C42</f>
        <v>961288</v>
      </c>
      <c r="D49" s="2">
        <f>BS!D42</f>
        <v>1220333</v>
      </c>
      <c r="E49" s="2">
        <f>BS!E42</f>
        <v>1579341</v>
      </c>
      <c r="F49" s="2">
        <f>BS!F42</f>
        <v>1941494</v>
      </c>
      <c r="G49" s="2">
        <f>BS!G42</f>
        <v>2311271</v>
      </c>
    </row>
    <row r="50" spans="2:12" x14ac:dyDescent="0.2">
      <c r="B50" t="s">
        <v>117</v>
      </c>
      <c r="C50" s="3">
        <f>C48/C49</f>
        <v>0.19401677749020066</v>
      </c>
      <c r="D50" s="3">
        <f>D48/D49</f>
        <v>0.13142150544154751</v>
      </c>
      <c r="E50" s="3">
        <f>E48/E49</f>
        <v>9.7834476531667325E-2</v>
      </c>
      <c r="F50" s="3">
        <f>F48/F49</f>
        <v>7.1443434798150296E-2</v>
      </c>
      <c r="G50" s="3">
        <f>G48/G49</f>
        <v>0.1403833648239432</v>
      </c>
      <c r="H50" s="3"/>
      <c r="I50" s="3"/>
      <c r="J50" s="3"/>
      <c r="K50" s="3"/>
      <c r="L50" s="3"/>
    </row>
    <row r="51" spans="2:12" x14ac:dyDescent="0.2">
      <c r="B51" t="s">
        <v>118</v>
      </c>
      <c r="C51" s="3">
        <f>C48/(C48+C49)</f>
        <v>0.16249083023608765</v>
      </c>
      <c r="D51" s="3">
        <f>D48/(D48+D49)</f>
        <v>0.11615609638802038</v>
      </c>
      <c r="E51" s="3">
        <f>E48/(E48+E49)</f>
        <v>8.9115871857796639E-2</v>
      </c>
      <c r="F51" s="3">
        <f>F48/(F48+F49)</f>
        <v>6.6679614133441908E-2</v>
      </c>
      <c r="G51" s="3">
        <f>G48/(G48+G49)</f>
        <v>0.12310190516117896</v>
      </c>
      <c r="H51" s="3"/>
      <c r="I51" s="3"/>
      <c r="J51" s="3"/>
      <c r="K51" s="3"/>
      <c r="L51" s="3"/>
    </row>
    <row r="52" spans="2:12" x14ac:dyDescent="0.2">
      <c r="B52" t="s">
        <v>246</v>
      </c>
      <c r="C52" s="3">
        <f>BS!C34/BS!C19</f>
        <v>0.37932325826750707</v>
      </c>
      <c r="D52" s="3">
        <f>BS!D34/BS!D19</f>
        <v>0.3386625118547622</v>
      </c>
      <c r="E52" s="3">
        <f>BS!E34/BS!E19</f>
        <v>0.2737693761467046</v>
      </c>
      <c r="F52" s="3">
        <f>BS!F34/BS!F19</f>
        <v>0.24852132615204184</v>
      </c>
      <c r="G52" s="3">
        <f>BS!G34/BS!G19</f>
        <v>0.27016881406391258</v>
      </c>
      <c r="H52" s="3"/>
      <c r="I52" s="3"/>
      <c r="J52" s="3"/>
      <c r="K52" s="3"/>
      <c r="L52" s="3"/>
    </row>
    <row r="53" spans="2:12" x14ac:dyDescent="0.2">
      <c r="B53" t="s">
        <v>247</v>
      </c>
      <c r="C53" s="3">
        <f>SUM(BS!C30:C33)/SUM(BS!C30:C33,BS!C42)</f>
        <v>0.24487596424250993</v>
      </c>
      <c r="D53" s="3">
        <f>SUM(BS!D30:D33)/SUM(BS!D30:D33,BS!D42)</f>
        <v>0.1992050669924969</v>
      </c>
      <c r="E53" s="3">
        <f>SUM(BS!E30:E33)/SUM(BS!E30:E33,BS!E42)</f>
        <v>0.1690412364353831</v>
      </c>
      <c r="F53" s="3">
        <f>SUM(BS!F30:F33)/SUM(BS!F30:F33,BS!F42)</f>
        <v>0.14150507470896645</v>
      </c>
      <c r="G53" s="3">
        <f>SUM(BS!G30:G33)/SUM(BS!G30:G33,BS!G42)</f>
        <v>0.19983610853672343</v>
      </c>
      <c r="H53" s="3"/>
      <c r="I53" s="3"/>
      <c r="J53" s="3"/>
      <c r="K53" s="3"/>
      <c r="L53" s="3"/>
    </row>
    <row r="54" spans="2:12" x14ac:dyDescent="0.2">
      <c r="C54" s="3"/>
      <c r="D54" s="3"/>
      <c r="E54" s="3"/>
      <c r="F54" s="3"/>
      <c r="G54" s="3"/>
      <c r="H54" s="3"/>
      <c r="I54" s="3"/>
      <c r="J54" s="3"/>
      <c r="K54" s="3"/>
      <c r="L54" s="3"/>
    </row>
    <row r="55" spans="2:12" x14ac:dyDescent="0.2">
      <c r="B55" t="s">
        <v>244</v>
      </c>
      <c r="C55" s="3">
        <f>SUM(BS!C6)/BS!C28</f>
        <v>9.1777453817533022E-2</v>
      </c>
      <c r="D55" s="3">
        <f>SUM(BS!D6)/BS!D28</f>
        <v>0.33169025480164804</v>
      </c>
      <c r="E55" s="3">
        <f>SUM(BS!E6)/BS!E28</f>
        <v>0.68369301494062062</v>
      </c>
      <c r="F55" s="3">
        <f>SUM(BS!F6)/BS!F28</f>
        <v>0.91976240156991329</v>
      </c>
      <c r="G55" s="3">
        <f>SUM(BS!G6)/BS!G28</f>
        <v>6.9956171863773536E-2</v>
      </c>
      <c r="H55" s="3">
        <f>SUM(BS!H6)/BS!H28</f>
        <v>8.4489625910844746E-2</v>
      </c>
      <c r="I55" s="3">
        <f>SUM(BS!I6)/BS!I28</f>
        <v>0.60579241809491802</v>
      </c>
      <c r="J55" s="3">
        <f>SUM(BS!J6)/BS!J28</f>
        <v>0.82343391741301963</v>
      </c>
      <c r="K55" s="3">
        <f>SUM(BS!K6)/BS!K28</f>
        <v>0.78194702569733199</v>
      </c>
      <c r="L55" s="3">
        <f>SUM(BS!L6)/BS!L28</f>
        <v>0.74139037478765568</v>
      </c>
    </row>
    <row r="56" spans="2:12" x14ac:dyDescent="0.2">
      <c r="B56" t="s">
        <v>245</v>
      </c>
      <c r="C56" s="3">
        <f>BS!C11/BS!C28</f>
        <v>0.98528398500112424</v>
      </c>
      <c r="D56" s="3">
        <f>BS!D11/BS!D28</f>
        <v>1.2953402541792698</v>
      </c>
      <c r="E56" s="3">
        <f>BS!E11/BS!E28</f>
        <v>1.9369392706642099</v>
      </c>
      <c r="F56" s="3">
        <f>BS!F11/BS!F28</f>
        <v>2.0142273393447101</v>
      </c>
      <c r="G56" s="3">
        <f>BS!G11/BS!G28</f>
        <v>1.5654871389567466</v>
      </c>
      <c r="H56" s="3">
        <f>BS!H11/BS!H28</f>
        <v>1.3801637404809637</v>
      </c>
      <c r="I56" s="3">
        <f>BS!I11/BS!I28</f>
        <v>1.943982476082601</v>
      </c>
      <c r="J56" s="3">
        <f>BS!J11/BS!J28</f>
        <v>2.2041959892161009</v>
      </c>
      <c r="K56" s="3">
        <f>BS!K11/BS!K28</f>
        <v>2.2052084899436388</v>
      </c>
      <c r="L56" s="3">
        <f>BS!L11/BS!L28</f>
        <v>2.2069520288194751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outlinePr summaryBelow="0" summaryRight="0"/>
  </sheetPr>
  <dimension ref="A1:N59"/>
  <sheetViews>
    <sheetView showGridLines="0" zoomScale="159" zoomScaleNormal="101" workbookViewId="0">
      <selection activeCell="D4" sqref="D4"/>
    </sheetView>
  </sheetViews>
  <sheetFormatPr defaultColWidth="12.5703125" defaultRowHeight="15.75" customHeight="1" x14ac:dyDescent="0.2"/>
  <cols>
    <col min="1" max="1" width="3.28515625" customWidth="1"/>
    <col min="2" max="2" width="13" bestFit="1" customWidth="1"/>
    <col min="3" max="3" width="20.28515625" customWidth="1"/>
    <col min="4" max="4" width="14.85546875" customWidth="1"/>
  </cols>
  <sheetData>
    <row r="1" spans="1:9" ht="15.75" customHeight="1" x14ac:dyDescent="0.2">
      <c r="A1" s="1"/>
    </row>
    <row r="2" spans="1:9" ht="12.75" x14ac:dyDescent="0.2"/>
    <row r="3" spans="1:9" ht="15.75" customHeight="1" x14ac:dyDescent="0.2">
      <c r="C3" s="193" t="s">
        <v>148</v>
      </c>
      <c r="D3" s="194"/>
      <c r="E3" s="20"/>
    </row>
    <row r="4" spans="1:9" ht="15.75" customHeight="1" x14ac:dyDescent="0.2">
      <c r="C4" s="84" t="s">
        <v>144</v>
      </c>
      <c r="D4" s="85">
        <v>1</v>
      </c>
      <c r="E4" s="20"/>
    </row>
    <row r="5" spans="1:9" ht="15.75" customHeight="1" x14ac:dyDescent="0.2">
      <c r="C5" s="86" t="s">
        <v>140</v>
      </c>
      <c r="D5" s="87">
        <v>1</v>
      </c>
      <c r="E5" s="20"/>
    </row>
    <row r="6" spans="1:9" ht="15.75" customHeight="1" x14ac:dyDescent="0.2">
      <c r="C6" s="86" t="s">
        <v>162</v>
      </c>
      <c r="D6" s="91">
        <v>1</v>
      </c>
      <c r="E6" s="20"/>
    </row>
    <row r="7" spans="1:9" ht="15.75" customHeight="1" x14ac:dyDescent="0.2">
      <c r="C7" s="86" t="s">
        <v>161</v>
      </c>
      <c r="D7" s="95">
        <v>0.03</v>
      </c>
      <c r="E7" s="20"/>
    </row>
    <row r="8" spans="1:9" ht="15.75" customHeight="1" x14ac:dyDescent="0.2">
      <c r="C8" s="88" t="s">
        <v>170</v>
      </c>
      <c r="D8" s="94">
        <v>4.02E-2</v>
      </c>
      <c r="E8" s="20"/>
    </row>
    <row r="9" spans="1:9" ht="15.75" customHeight="1" x14ac:dyDescent="0.2">
      <c r="E9" s="20"/>
    </row>
    <row r="10" spans="1:9" ht="15.75" customHeight="1" x14ac:dyDescent="0.2">
      <c r="E10" s="20"/>
    </row>
    <row r="11" spans="1:9" ht="15.75" customHeight="1" x14ac:dyDescent="0.2">
      <c r="B11" s="195" t="s">
        <v>88</v>
      </c>
      <c r="C11" s="195"/>
      <c r="D11" s="195"/>
      <c r="E11" s="195"/>
      <c r="F11" s="195"/>
      <c r="G11" s="195"/>
      <c r="H11" s="195"/>
      <c r="I11" s="195"/>
    </row>
    <row r="12" spans="1:9" ht="15.75" customHeight="1" x14ac:dyDescent="0.2">
      <c r="B12" s="83" t="s">
        <v>91</v>
      </c>
      <c r="C12" s="22" t="s">
        <v>86</v>
      </c>
      <c r="D12" s="22" t="s">
        <v>89</v>
      </c>
      <c r="E12" s="22" t="s">
        <v>87</v>
      </c>
    </row>
    <row r="13" spans="1:9" ht="15.75" customHeight="1" x14ac:dyDescent="0.2">
      <c r="B13" s="53">
        <v>1</v>
      </c>
      <c r="C13" s="20" t="s">
        <v>85</v>
      </c>
      <c r="D13" s="21">
        <f>GEOMEAN(IS!E6:G6)</f>
        <v>9.2851686104986939E-2</v>
      </c>
      <c r="E13" s="1" t="s">
        <v>187</v>
      </c>
    </row>
    <row r="14" spans="1:9" ht="15.75" customHeight="1" x14ac:dyDescent="0.2">
      <c r="B14" s="53">
        <v>2</v>
      </c>
      <c r="C14" s="23" t="s">
        <v>157</v>
      </c>
      <c r="D14" s="21">
        <v>5.6599999999999998E-2</v>
      </c>
      <c r="E14" s="20" t="s">
        <v>90</v>
      </c>
    </row>
    <row r="15" spans="1:9" ht="15.75" customHeight="1" x14ac:dyDescent="0.2">
      <c r="B15" s="53">
        <v>3</v>
      </c>
      <c r="C15" s="20" t="s">
        <v>92</v>
      </c>
      <c r="D15" s="28">
        <f>GEOMEAN(IS!D6:G6)</f>
        <v>0.11963510809462718</v>
      </c>
      <c r="E15" s="23" t="s">
        <v>93</v>
      </c>
    </row>
    <row r="16" spans="1:9" ht="15.75" customHeight="1" x14ac:dyDescent="0.2">
      <c r="B16" s="53">
        <v>4</v>
      </c>
      <c r="C16" s="20" t="s">
        <v>95</v>
      </c>
      <c r="D16" s="21">
        <f>IS!G6</f>
        <v>0.11370765865456534</v>
      </c>
      <c r="E16" s="20" t="s">
        <v>96</v>
      </c>
    </row>
    <row r="17" spans="2:9" ht="15.75" customHeight="1" x14ac:dyDescent="0.2">
      <c r="B17" s="53">
        <v>5</v>
      </c>
      <c r="C17" s="23" t="s">
        <v>189</v>
      </c>
      <c r="D17" s="21">
        <f>D13</f>
        <v>9.2851686104986939E-2</v>
      </c>
      <c r="E17" s="23" t="s">
        <v>188</v>
      </c>
    </row>
    <row r="18" spans="2:9" ht="15.75" customHeight="1" x14ac:dyDescent="0.2">
      <c r="B18" s="53"/>
      <c r="C18" s="23"/>
      <c r="D18" s="21"/>
      <c r="E18" s="23"/>
    </row>
    <row r="19" spans="2:9" ht="15.75" customHeight="1" x14ac:dyDescent="0.2">
      <c r="B19" s="20"/>
      <c r="C19" s="20"/>
      <c r="D19" s="20"/>
      <c r="E19" s="20"/>
    </row>
    <row r="20" spans="2:9" ht="15.75" customHeight="1" x14ac:dyDescent="0.2">
      <c r="B20" s="196" t="s">
        <v>190</v>
      </c>
      <c r="C20" s="196"/>
      <c r="D20" s="196"/>
      <c r="E20" s="196"/>
      <c r="F20" s="196"/>
      <c r="G20" s="196"/>
      <c r="H20" s="196"/>
      <c r="I20" s="196"/>
    </row>
    <row r="21" spans="2:9" ht="15.75" customHeight="1" x14ac:dyDescent="0.2">
      <c r="B21" s="90" t="s">
        <v>91</v>
      </c>
      <c r="C21" s="24" t="s">
        <v>86</v>
      </c>
      <c r="D21" s="24" t="s">
        <v>87</v>
      </c>
      <c r="E21" s="23">
        <v>2025</v>
      </c>
      <c r="F21" s="23">
        <v>2026</v>
      </c>
      <c r="G21" s="23">
        <v>2027</v>
      </c>
      <c r="H21" s="23">
        <v>2028</v>
      </c>
      <c r="I21" s="23">
        <v>2029</v>
      </c>
    </row>
    <row r="22" spans="2:9" ht="15.75" customHeight="1" x14ac:dyDescent="0.2">
      <c r="B22" s="53">
        <v>1</v>
      </c>
      <c r="C22" s="1" t="s">
        <v>85</v>
      </c>
      <c r="D22" t="s">
        <v>141</v>
      </c>
      <c r="E22" s="59">
        <v>3.1E-2</v>
      </c>
      <c r="F22" s="59">
        <v>3.2000000000000001E-2</v>
      </c>
      <c r="G22" s="59">
        <v>3.2000000000000001E-2</v>
      </c>
      <c r="H22" s="59">
        <v>0.03</v>
      </c>
      <c r="I22" s="59">
        <v>2.9000000000000001E-2</v>
      </c>
    </row>
    <row r="23" spans="2:9" ht="15.75" customHeight="1" x14ac:dyDescent="0.2">
      <c r="B23" s="53">
        <v>2</v>
      </c>
      <c r="C23" s="1" t="s">
        <v>211</v>
      </c>
      <c r="D23" s="23" t="s">
        <v>212</v>
      </c>
      <c r="E23" s="27">
        <v>3.1E-2</v>
      </c>
      <c r="F23" s="27">
        <v>0.03</v>
      </c>
      <c r="G23" s="27">
        <v>0.03</v>
      </c>
      <c r="H23" s="27">
        <v>0.03</v>
      </c>
      <c r="I23" s="27">
        <v>0.03</v>
      </c>
    </row>
    <row r="24" spans="2:9" ht="15.75" customHeight="1" x14ac:dyDescent="0.2">
      <c r="B24" s="53">
        <v>3</v>
      </c>
      <c r="C24" s="1" t="s">
        <v>142</v>
      </c>
      <c r="D24" s="1" t="s">
        <v>143</v>
      </c>
      <c r="E24" s="27">
        <v>3.1E-2</v>
      </c>
      <c r="F24" s="27">
        <v>2.9000000000000001E-2</v>
      </c>
      <c r="G24" s="27">
        <v>2.5000000000000001E-2</v>
      </c>
      <c r="H24" s="27">
        <v>2.1999999999999999E-2</v>
      </c>
      <c r="I24" s="27">
        <v>0.02</v>
      </c>
    </row>
    <row r="25" spans="2:9" ht="15.75" customHeight="1" x14ac:dyDescent="0.2">
      <c r="B25" s="53"/>
      <c r="C25" s="1"/>
      <c r="D25" s="1"/>
      <c r="E25" s="27"/>
      <c r="F25" s="27"/>
      <c r="G25" s="27"/>
      <c r="H25" s="27"/>
      <c r="I25" s="27"/>
    </row>
    <row r="26" spans="2:9" ht="15.75" customHeight="1" x14ac:dyDescent="0.2">
      <c r="E26" s="27"/>
      <c r="F26" s="27"/>
      <c r="G26" s="27"/>
      <c r="H26" s="27"/>
      <c r="I26" s="27"/>
    </row>
    <row r="27" spans="2:9" ht="15.75" customHeight="1" x14ac:dyDescent="0.2">
      <c r="B27" s="197" t="s">
        <v>162</v>
      </c>
      <c r="C27" s="197"/>
      <c r="D27" s="197"/>
      <c r="E27" s="197"/>
      <c r="F27" s="197"/>
      <c r="G27" s="197"/>
      <c r="H27" s="197"/>
      <c r="I27" s="197"/>
    </row>
    <row r="28" spans="2:9" ht="15.75" customHeight="1" x14ac:dyDescent="0.2">
      <c r="B28" s="24" t="s">
        <v>91</v>
      </c>
      <c r="C28" s="24" t="s">
        <v>162</v>
      </c>
      <c r="D28" s="24" t="s">
        <v>163</v>
      </c>
      <c r="E28" s="27"/>
      <c r="F28" s="27"/>
      <c r="G28" s="27"/>
      <c r="H28" s="27"/>
      <c r="I28" s="27"/>
    </row>
    <row r="29" spans="2:9" ht="15.75" customHeight="1" x14ac:dyDescent="0.2">
      <c r="B29" s="20">
        <v>1</v>
      </c>
      <c r="C29" s="21">
        <f>WACC!C2</f>
        <v>8.4658432825133328E-2</v>
      </c>
      <c r="D29" s="23" t="s">
        <v>164</v>
      </c>
      <c r="E29" s="27"/>
      <c r="F29" s="27"/>
      <c r="G29" s="27"/>
      <c r="H29" s="27"/>
      <c r="I29" s="27"/>
    </row>
    <row r="30" spans="2:9" ht="15.75" customHeight="1" x14ac:dyDescent="0.2">
      <c r="B30" s="20">
        <v>2</v>
      </c>
      <c r="C30" s="21">
        <v>7.0699999999999999E-2</v>
      </c>
      <c r="D30" s="23" t="s">
        <v>166</v>
      </c>
      <c r="E30" s="27"/>
      <c r="F30" s="27"/>
      <c r="G30" s="27"/>
      <c r="H30" s="27"/>
      <c r="I30" s="27"/>
    </row>
    <row r="31" spans="2:9" ht="15.75" customHeight="1" x14ac:dyDescent="0.2">
      <c r="B31" s="20">
        <v>3</v>
      </c>
      <c r="C31" s="21">
        <v>8.6999999999999994E-2</v>
      </c>
      <c r="D31" s="23" t="s">
        <v>165</v>
      </c>
      <c r="E31" s="27"/>
      <c r="F31" s="27"/>
      <c r="G31" s="27"/>
      <c r="H31" s="27"/>
      <c r="I31" s="27"/>
    </row>
    <row r="32" spans="2:9" ht="15.75" customHeight="1" x14ac:dyDescent="0.2">
      <c r="B32" s="20">
        <v>4</v>
      </c>
      <c r="C32" s="21">
        <v>0.1943</v>
      </c>
      <c r="D32" s="23" t="s">
        <v>167</v>
      </c>
      <c r="E32" s="27"/>
      <c r="F32" s="27"/>
      <c r="G32" s="27"/>
      <c r="H32" s="27"/>
      <c r="I32" s="27"/>
    </row>
    <row r="33" spans="2:14" ht="15.75" customHeight="1" x14ac:dyDescent="0.2">
      <c r="E33" s="27"/>
      <c r="F33" s="27"/>
      <c r="G33" s="27"/>
      <c r="H33" s="27"/>
      <c r="I33" s="27"/>
      <c r="J33" s="129"/>
      <c r="K33" s="129"/>
      <c r="L33" s="129"/>
      <c r="M33" s="129"/>
      <c r="N33" s="129"/>
    </row>
    <row r="34" spans="2:14" ht="15.75" customHeight="1" x14ac:dyDescent="0.2">
      <c r="E34" s="27"/>
      <c r="F34" s="27"/>
      <c r="G34" s="27"/>
      <c r="H34" s="27"/>
      <c r="I34" s="27"/>
      <c r="J34" s="13"/>
      <c r="K34" s="13"/>
      <c r="L34" s="13"/>
      <c r="M34" s="13"/>
      <c r="N34" s="13"/>
    </row>
    <row r="35" spans="2:14" ht="15.75" customHeight="1" x14ac:dyDescent="0.2">
      <c r="B35" s="78" t="s">
        <v>84</v>
      </c>
      <c r="C35" s="78" t="s">
        <v>97</v>
      </c>
      <c r="D35" s="53" t="s">
        <v>87</v>
      </c>
      <c r="E35" s="20"/>
      <c r="F35" s="27"/>
      <c r="G35" s="27"/>
      <c r="H35" s="27"/>
      <c r="I35" s="27"/>
      <c r="J35" s="13"/>
      <c r="K35" s="13"/>
      <c r="L35" s="13"/>
      <c r="M35" s="13"/>
      <c r="N35" s="13"/>
    </row>
    <row r="36" spans="2:14" ht="15.75" customHeight="1" x14ac:dyDescent="0.2">
      <c r="B36" s="79">
        <f>GEOMEAN(IS!$E$9:$G$9) + 0.01</f>
        <v>0.45430077058806451</v>
      </c>
      <c r="C36" s="58" t="s">
        <v>98</v>
      </c>
      <c r="D36" s="22" t="s">
        <v>120</v>
      </c>
      <c r="E36" s="20"/>
      <c r="F36" s="27"/>
      <c r="G36" s="27"/>
      <c r="H36" s="27"/>
      <c r="I36" s="27"/>
      <c r="J36" s="13"/>
      <c r="K36" s="13"/>
      <c r="L36" s="13"/>
      <c r="M36" s="13"/>
      <c r="N36" s="13"/>
    </row>
    <row r="37" spans="2:14" ht="15.75" customHeight="1" x14ac:dyDescent="0.2">
      <c r="B37" s="89">
        <v>-0.05</v>
      </c>
      <c r="C37" s="58" t="s">
        <v>98</v>
      </c>
      <c r="D37" s="22" t="s">
        <v>99</v>
      </c>
      <c r="E37" s="20"/>
      <c r="F37" s="27"/>
      <c r="G37" s="27"/>
      <c r="H37" s="27"/>
      <c r="I37" s="27"/>
      <c r="J37" s="13"/>
      <c r="K37" s="13"/>
      <c r="L37" s="13"/>
      <c r="M37" s="13"/>
      <c r="N37" s="13"/>
    </row>
    <row r="38" spans="2:14" ht="15.75" customHeight="1" x14ac:dyDescent="0.2">
      <c r="B38" s="67" t="s">
        <v>160</v>
      </c>
      <c r="C38" s="58" t="s">
        <v>98</v>
      </c>
      <c r="D38" s="22" t="s">
        <v>101</v>
      </c>
      <c r="E38" s="20"/>
      <c r="F38" s="27"/>
      <c r="G38" s="27"/>
      <c r="H38" s="27"/>
      <c r="I38" s="27"/>
      <c r="J38" s="13"/>
      <c r="K38" s="13"/>
      <c r="L38" s="13"/>
      <c r="M38" s="13"/>
      <c r="N38" s="13"/>
    </row>
    <row r="39" spans="2:14" ht="15.75" customHeight="1" x14ac:dyDescent="0.2">
      <c r="B39" s="80" t="s">
        <v>160</v>
      </c>
      <c r="C39" s="58" t="s">
        <v>98</v>
      </c>
      <c r="D39" s="22" t="s">
        <v>102</v>
      </c>
      <c r="E39" s="20"/>
      <c r="F39" s="27"/>
      <c r="G39" s="27"/>
      <c r="H39" s="27"/>
      <c r="I39" s="27"/>
      <c r="J39" s="13"/>
      <c r="K39" s="13"/>
      <c r="L39" s="13"/>
      <c r="M39" s="13"/>
      <c r="N39" s="13"/>
    </row>
    <row r="40" spans="2:14" ht="15.75" customHeight="1" x14ac:dyDescent="0.2">
      <c r="B40" s="124">
        <f>AVERAGE(IS!D43:G43)</f>
        <v>1.9706989931793928E-3</v>
      </c>
      <c r="C40" s="58" t="s">
        <v>98</v>
      </c>
      <c r="D40" s="22" t="s">
        <v>185</v>
      </c>
      <c r="E40" s="20"/>
      <c r="J40" s="13"/>
      <c r="K40" s="13"/>
      <c r="L40" s="13"/>
      <c r="M40" s="13"/>
      <c r="N40" s="13"/>
    </row>
    <row r="41" spans="2:14" ht="15.75" customHeight="1" x14ac:dyDescent="0.2">
      <c r="B41" s="81">
        <f>GEOMEAN(IS!C22:G22)</f>
        <v>0.10299762251594757</v>
      </c>
      <c r="C41" s="58" t="s">
        <v>98</v>
      </c>
      <c r="D41" s="22" t="s">
        <v>119</v>
      </c>
      <c r="E41" s="20"/>
      <c r="J41" s="129"/>
      <c r="K41" s="129"/>
      <c r="L41" s="129"/>
      <c r="M41" s="129"/>
      <c r="N41" s="129"/>
    </row>
    <row r="42" spans="2:14" ht="15.75" customHeight="1" x14ac:dyDescent="0.2">
      <c r="B42" s="81">
        <f>GEOMEAN(IS!C33:G33)</f>
        <v>0.23357307752533318</v>
      </c>
      <c r="C42" s="58" t="s">
        <v>158</v>
      </c>
      <c r="D42" s="22" t="s">
        <v>159</v>
      </c>
      <c r="E42" s="20"/>
      <c r="J42" s="130"/>
      <c r="K42" s="130"/>
      <c r="L42" s="130"/>
      <c r="M42" s="130"/>
      <c r="N42" s="130"/>
    </row>
    <row r="43" spans="2:14" ht="15.75" customHeight="1" x14ac:dyDescent="0.2">
      <c r="B43" s="82">
        <f>GEOMEAN('Supporting Schedules'!C6:F6)</f>
        <v>0.13355246611870497</v>
      </c>
      <c r="C43" s="23" t="s">
        <v>104</v>
      </c>
      <c r="D43" s="22" t="s">
        <v>112</v>
      </c>
      <c r="E43" s="20"/>
      <c r="J43" s="131"/>
      <c r="K43" s="131"/>
      <c r="L43" s="131"/>
      <c r="M43" s="131"/>
      <c r="N43" s="131"/>
    </row>
    <row r="44" spans="2:14" ht="15.75" customHeight="1" x14ac:dyDescent="0.2">
      <c r="B44" s="67" t="s">
        <v>160</v>
      </c>
      <c r="C44" s="23" t="s">
        <v>104</v>
      </c>
      <c r="D44" s="22" t="s">
        <v>149</v>
      </c>
      <c r="E44" s="20"/>
      <c r="J44" s="132"/>
      <c r="K44" s="132"/>
      <c r="L44" s="132"/>
      <c r="M44" s="132"/>
      <c r="N44" s="132"/>
    </row>
    <row r="45" spans="2:14" ht="15.75" customHeight="1" x14ac:dyDescent="0.2">
      <c r="B45" s="82">
        <f>GEOMEAN('Supporting Schedules'!C10:E10)</f>
        <v>6.036542060354004E-2</v>
      </c>
      <c r="C45" s="23" t="s">
        <v>104</v>
      </c>
      <c r="D45" s="22" t="s">
        <v>113</v>
      </c>
      <c r="E45" s="20"/>
      <c r="J45" s="132"/>
      <c r="K45" s="132"/>
      <c r="L45" s="132"/>
      <c r="M45" s="132"/>
      <c r="N45" s="132"/>
    </row>
    <row r="46" spans="2:14" ht="15.75" customHeight="1" x14ac:dyDescent="0.2">
      <c r="B46" s="67" t="s">
        <v>160</v>
      </c>
      <c r="C46" s="23" t="s">
        <v>104</v>
      </c>
      <c r="D46" s="24" t="s">
        <v>114</v>
      </c>
      <c r="E46" s="20"/>
      <c r="J46" s="132"/>
      <c r="K46" s="132"/>
      <c r="L46" s="132"/>
      <c r="M46" s="132"/>
      <c r="N46" s="132"/>
    </row>
    <row r="47" spans="2:14" ht="15.75" customHeight="1" x14ac:dyDescent="0.2">
      <c r="B47" s="82">
        <f>GEOMEAN('Supporting Schedules'!G18,'Supporting Schedules'!C18:E18)</f>
        <v>2.138684909898109E-2</v>
      </c>
      <c r="C47" s="20" t="s">
        <v>121</v>
      </c>
      <c r="D47" s="22" t="s">
        <v>150</v>
      </c>
      <c r="J47" s="129"/>
      <c r="K47" s="129"/>
      <c r="L47" s="129"/>
      <c r="M47" s="129"/>
      <c r="N47" s="129"/>
    </row>
    <row r="48" spans="2:14" ht="15.75" customHeight="1" x14ac:dyDescent="0.2">
      <c r="B48" s="67" t="s">
        <v>160</v>
      </c>
      <c r="C48" s="23" t="s">
        <v>145</v>
      </c>
      <c r="D48" s="22" t="s">
        <v>146</v>
      </c>
      <c r="J48" s="27"/>
      <c r="K48" s="27"/>
      <c r="L48" s="27"/>
      <c r="M48" s="27"/>
      <c r="N48" s="27"/>
    </row>
    <row r="49" spans="2:14" ht="15.75" customHeight="1" x14ac:dyDescent="0.2">
      <c r="B49" s="67" t="s">
        <v>160</v>
      </c>
      <c r="C49" s="23" t="s">
        <v>145</v>
      </c>
      <c r="D49" s="22" t="s">
        <v>147</v>
      </c>
      <c r="E49" s="20"/>
      <c r="J49" s="27"/>
      <c r="K49" s="27"/>
      <c r="L49" s="27"/>
      <c r="M49" s="27"/>
      <c r="N49" s="27"/>
    </row>
    <row r="50" spans="2:14" ht="15.75" customHeight="1" x14ac:dyDescent="0.2">
      <c r="B50" s="123">
        <v>300000</v>
      </c>
      <c r="C50" s="23" t="s">
        <v>145</v>
      </c>
      <c r="D50" s="22" t="s">
        <v>186</v>
      </c>
      <c r="E50" s="20"/>
      <c r="J50" s="27"/>
      <c r="K50" s="27"/>
      <c r="L50" s="27"/>
      <c r="M50" s="27"/>
      <c r="N50" s="27"/>
    </row>
    <row r="51" spans="2:14" ht="15.75" customHeight="1" x14ac:dyDescent="0.2">
      <c r="B51" s="67" t="s">
        <v>160</v>
      </c>
      <c r="C51" s="23" t="s">
        <v>151</v>
      </c>
      <c r="D51" s="22" t="s">
        <v>152</v>
      </c>
      <c r="J51" s="27"/>
      <c r="K51" s="27"/>
      <c r="L51" s="27"/>
      <c r="M51" s="27"/>
      <c r="N51" s="27"/>
    </row>
    <row r="52" spans="2:14" ht="15.75" customHeight="1" x14ac:dyDescent="0.2">
      <c r="B52" s="82">
        <f>AVERAGE(CF!D36:F36)</f>
        <v>-3.8982295658969511E-2</v>
      </c>
      <c r="C52" s="23" t="s">
        <v>151</v>
      </c>
      <c r="D52" s="22" t="s">
        <v>154</v>
      </c>
      <c r="J52" s="27"/>
      <c r="K52" s="27"/>
      <c r="L52" s="27"/>
      <c r="M52" s="27"/>
      <c r="N52" s="27"/>
    </row>
    <row r="53" spans="2:14" ht="15.75" customHeight="1" x14ac:dyDescent="0.2">
      <c r="J53" s="27"/>
      <c r="K53" s="27"/>
      <c r="L53" s="27"/>
      <c r="M53" s="27"/>
      <c r="N53" s="27"/>
    </row>
    <row r="54" spans="2:14" ht="15.75" customHeight="1" x14ac:dyDescent="0.2">
      <c r="J54" s="27"/>
      <c r="K54" s="27"/>
      <c r="L54" s="27"/>
      <c r="M54" s="27"/>
      <c r="N54" s="27"/>
    </row>
    <row r="55" spans="2:14" ht="15.75" customHeight="1" x14ac:dyDescent="0.2">
      <c r="J55" s="27"/>
      <c r="K55" s="27"/>
      <c r="L55" s="27"/>
      <c r="M55" s="27"/>
      <c r="N55" s="27"/>
    </row>
    <row r="56" spans="2:14" ht="15.75" customHeight="1" x14ac:dyDescent="0.2">
      <c r="J56" s="27"/>
      <c r="K56" s="27"/>
      <c r="L56" s="27"/>
      <c r="M56" s="27"/>
      <c r="N56" s="27"/>
    </row>
    <row r="57" spans="2:14" ht="15.75" customHeight="1" x14ac:dyDescent="0.2">
      <c r="J57" s="27"/>
      <c r="K57" s="27"/>
      <c r="L57" s="27"/>
      <c r="M57" s="27"/>
      <c r="N57" s="27"/>
    </row>
    <row r="58" spans="2:14" ht="15.75" customHeight="1" x14ac:dyDescent="0.2">
      <c r="J58" s="27"/>
      <c r="K58" s="27"/>
      <c r="L58" s="27"/>
      <c r="M58" s="27"/>
      <c r="N58" s="27"/>
    </row>
    <row r="59" spans="2:14" ht="15.75" customHeight="1" x14ac:dyDescent="0.2">
      <c r="J59" s="27"/>
      <c r="K59" s="27"/>
      <c r="L59" s="27"/>
      <c r="M59" s="27"/>
      <c r="N59" s="27"/>
    </row>
  </sheetData>
  <mergeCells count="4">
    <mergeCell ref="C3:D3"/>
    <mergeCell ref="B11:I11"/>
    <mergeCell ref="B20:I20"/>
    <mergeCell ref="B27:I27"/>
  </mergeCells>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outlinePr summaryBelow="0" summaryRight="0"/>
  </sheetPr>
  <dimension ref="B3:R49"/>
  <sheetViews>
    <sheetView showGridLines="0" topLeftCell="B4" zoomScale="125" workbookViewId="0"/>
  </sheetViews>
  <sheetFormatPr defaultColWidth="12.5703125" defaultRowHeight="15.75" customHeight="1" x14ac:dyDescent="0.2"/>
  <cols>
    <col min="1" max="1" width="3.7109375" customWidth="1"/>
    <col min="2" max="2" width="43.85546875" customWidth="1"/>
    <col min="4" max="7" width="12.5703125" style="4"/>
  </cols>
  <sheetData>
    <row r="3" spans="2:13" ht="15.75" customHeight="1" x14ac:dyDescent="0.2">
      <c r="B3" s="54" t="s">
        <v>103</v>
      </c>
      <c r="C3" s="55">
        <v>2020</v>
      </c>
      <c r="D3" s="56">
        <v>2021</v>
      </c>
      <c r="E3" s="56">
        <v>2022</v>
      </c>
      <c r="F3" s="56">
        <v>2023</v>
      </c>
      <c r="G3" s="56">
        <v>2024</v>
      </c>
      <c r="H3" s="57">
        <v>2025</v>
      </c>
      <c r="I3" s="57">
        <v>2026</v>
      </c>
      <c r="J3" s="57">
        <v>2027</v>
      </c>
      <c r="K3" s="57">
        <v>2028</v>
      </c>
      <c r="L3" s="57">
        <v>2029</v>
      </c>
    </row>
    <row r="4" spans="2:13" ht="15.75" customHeight="1" x14ac:dyDescent="0.2">
      <c r="B4" s="12"/>
      <c r="C4" s="13"/>
      <c r="D4" s="19"/>
      <c r="E4" s="19"/>
      <c r="F4" s="19"/>
      <c r="G4" s="19"/>
    </row>
    <row r="5" spans="2:13" ht="15.75" customHeight="1" x14ac:dyDescent="0.2">
      <c r="B5" s="5" t="s">
        <v>31</v>
      </c>
      <c r="C5" s="2"/>
      <c r="D5" s="2"/>
      <c r="E5" s="2"/>
      <c r="F5" s="2"/>
      <c r="G5" s="2"/>
      <c r="H5" s="2"/>
      <c r="I5" s="2"/>
      <c r="J5" s="2"/>
      <c r="K5" s="2"/>
      <c r="L5" s="2"/>
      <c r="M5" s="2"/>
    </row>
    <row r="6" spans="2:13" ht="15.75" customHeight="1" x14ac:dyDescent="0.2">
      <c r="B6" t="s">
        <v>0</v>
      </c>
      <c r="C6" s="2">
        <v>25308</v>
      </c>
      <c r="D6" s="2">
        <v>106588</v>
      </c>
      <c r="E6" s="2">
        <v>187390</v>
      </c>
      <c r="F6" s="2">
        <v>296215</v>
      </c>
      <c r="G6" s="2">
        <v>19473</v>
      </c>
      <c r="H6" s="2">
        <f>IF(CF!H40&gt;'Inputs &amp; Assumptions'!$B$50,'Inputs &amp; Assumptions'!$B$50,CF!H40)</f>
        <v>27890.466850076802</v>
      </c>
      <c r="I6" s="2">
        <f>IF(CF!I40&gt;'Inputs &amp; Assumptions'!$B$50,'Inputs &amp; Assumptions'!$B$50,CF!I40)</f>
        <v>209918.55020635668</v>
      </c>
      <c r="J6" s="2">
        <f>IF(CF!J40&gt;'Inputs &amp; Assumptions'!$B$50,'Inputs &amp; Assumptions'!$B$50,CF!J40)</f>
        <v>300000</v>
      </c>
      <c r="K6" s="2">
        <f>IF(CF!K40&gt;'Inputs &amp; Assumptions'!$B$50,'Inputs &amp; Assumptions'!$B$50,CF!K40)</f>
        <v>300000</v>
      </c>
      <c r="L6" s="2">
        <f>IF(CF!L40&gt;'Inputs &amp; Assumptions'!$B$50,'Inputs &amp; Assumptions'!$B$50,CF!L40)</f>
        <v>300000</v>
      </c>
      <c r="M6" s="29"/>
    </row>
    <row r="7" spans="2:13" ht="15.75" customHeight="1" x14ac:dyDescent="0.2">
      <c r="B7" t="s">
        <v>1</v>
      </c>
      <c r="C7" s="2">
        <v>216899</v>
      </c>
      <c r="D7" s="2">
        <v>276755</v>
      </c>
      <c r="E7" s="2">
        <v>290306</v>
      </c>
      <c r="F7" s="2">
        <v>311742</v>
      </c>
      <c r="G7" s="2">
        <v>322991</v>
      </c>
      <c r="H7" s="2">
        <f>$H$47*IS!H5/365</f>
        <v>387708.79325531638</v>
      </c>
      <c r="I7" s="2">
        <f>$H$47*IS!I5/365</f>
        <v>423708.2084268023</v>
      </c>
      <c r="J7" s="2">
        <f>$H$47*IS!J5/365</f>
        <v>463050.22999575408</v>
      </c>
      <c r="K7" s="2">
        <f>$H$47*IS!K5/365</f>
        <v>506045.22460216179</v>
      </c>
      <c r="L7" s="2">
        <f>$H$47*IS!L5/365</f>
        <v>553032.3769518492</v>
      </c>
      <c r="M7" s="29"/>
    </row>
    <row r="8" spans="2:13" ht="15.75" customHeight="1" x14ac:dyDescent="0.2">
      <c r="B8" t="s">
        <v>2</v>
      </c>
      <c r="C8" s="2">
        <v>19505</v>
      </c>
      <c r="D8" s="2">
        <v>20329</v>
      </c>
      <c r="E8" s="2">
        <v>22525</v>
      </c>
      <c r="F8" s="2">
        <v>32648</v>
      </c>
      <c r="G8" s="2">
        <v>35497</v>
      </c>
      <c r="H8" s="2">
        <v>30000</v>
      </c>
      <c r="I8" s="2">
        <v>30000</v>
      </c>
      <c r="J8" s="2">
        <v>30000</v>
      </c>
      <c r="K8" s="2">
        <v>30000</v>
      </c>
      <c r="L8" s="2">
        <v>30000</v>
      </c>
      <c r="M8" s="29"/>
    </row>
    <row r="9" spans="2:13" ht="15.75" customHeight="1" x14ac:dyDescent="0.2">
      <c r="B9" t="s">
        <v>3</v>
      </c>
      <c r="C9" s="2">
        <v>96</v>
      </c>
      <c r="D9" s="2">
        <v>0</v>
      </c>
      <c r="E9" s="2">
        <v>23438</v>
      </c>
      <c r="F9" s="2">
        <v>1005</v>
      </c>
      <c r="G9" s="2">
        <v>44107</v>
      </c>
      <c r="H9" s="2">
        <v>0</v>
      </c>
      <c r="I9" s="2">
        <v>0</v>
      </c>
      <c r="J9" s="2">
        <v>0</v>
      </c>
      <c r="K9" s="2">
        <v>0</v>
      </c>
      <c r="L9" s="2">
        <v>0</v>
      </c>
      <c r="M9" s="29"/>
    </row>
    <row r="10" spans="2:13" ht="15.75" customHeight="1" x14ac:dyDescent="0.2">
      <c r="B10" t="s">
        <v>4</v>
      </c>
      <c r="C10" s="2">
        <v>9888</v>
      </c>
      <c r="D10" s="2">
        <v>12583</v>
      </c>
      <c r="E10" s="2">
        <v>7227</v>
      </c>
      <c r="F10" s="2">
        <v>7084</v>
      </c>
      <c r="G10" s="2">
        <v>13701</v>
      </c>
      <c r="H10" s="2">
        <v>10000</v>
      </c>
      <c r="I10" s="2">
        <v>10000</v>
      </c>
      <c r="J10" s="2">
        <v>10000</v>
      </c>
      <c r="K10" s="2">
        <v>10000</v>
      </c>
      <c r="L10" s="2">
        <v>10000</v>
      </c>
      <c r="M10" s="29"/>
    </row>
    <row r="11" spans="2:13" ht="15.75" customHeight="1" thickBot="1" x14ac:dyDescent="0.25">
      <c r="B11" s="6" t="s">
        <v>5</v>
      </c>
      <c r="C11" s="47">
        <v>271696</v>
      </c>
      <c r="D11" s="47">
        <v>416255</v>
      </c>
      <c r="E11" s="47">
        <v>530886</v>
      </c>
      <c r="F11" s="47">
        <v>648694</v>
      </c>
      <c r="G11" s="47">
        <v>435769</v>
      </c>
      <c r="H11" s="66">
        <f>SUM(H6:H10)</f>
        <v>455599.26010539319</v>
      </c>
      <c r="I11" s="66">
        <f t="shared" ref="I11:L11" si="0">SUM(I6:I10)</f>
        <v>673626.75863315898</v>
      </c>
      <c r="J11" s="66">
        <f t="shared" si="0"/>
        <v>803050.22999575408</v>
      </c>
      <c r="K11" s="66">
        <f t="shared" si="0"/>
        <v>846045.22460216179</v>
      </c>
      <c r="L11" s="66">
        <f t="shared" si="0"/>
        <v>893032.3769518492</v>
      </c>
      <c r="M11" s="29"/>
    </row>
    <row r="12" spans="2:13" ht="15.75" customHeight="1" thickTop="1" x14ac:dyDescent="0.2">
      <c r="C12" s="52"/>
      <c r="D12" s="52"/>
      <c r="E12" s="52"/>
      <c r="F12" s="52"/>
      <c r="G12" s="52"/>
      <c r="H12" s="2"/>
      <c r="I12" s="2"/>
      <c r="J12" s="2"/>
      <c r="K12" s="2"/>
      <c r="L12" s="2"/>
      <c r="M12" s="29"/>
    </row>
    <row r="13" spans="2:13" ht="15.75" customHeight="1" x14ac:dyDescent="0.2">
      <c r="B13" t="s">
        <v>6</v>
      </c>
      <c r="C13" s="2">
        <v>1901244</v>
      </c>
      <c r="D13" s="2">
        <v>2144528</v>
      </c>
      <c r="E13" s="2">
        <v>2478824</v>
      </c>
      <c r="F13" s="2">
        <v>2881800</v>
      </c>
      <c r="G13" s="2">
        <v>3790069</v>
      </c>
      <c r="H13" s="2"/>
      <c r="I13" s="2"/>
      <c r="J13" s="2"/>
      <c r="K13" s="2"/>
      <c r="L13" s="2"/>
      <c r="M13" s="29"/>
    </row>
    <row r="14" spans="2:13" ht="15.75" customHeight="1" x14ac:dyDescent="0.2">
      <c r="B14" t="s">
        <v>7</v>
      </c>
      <c r="C14" s="2">
        <v>765217</v>
      </c>
      <c r="D14" s="2">
        <v>864074</v>
      </c>
      <c r="E14" s="2">
        <v>996204</v>
      </c>
      <c r="F14" s="2">
        <v>1118492</v>
      </c>
      <c r="G14" s="2">
        <v>1233134</v>
      </c>
      <c r="H14" s="2"/>
      <c r="I14" s="2"/>
      <c r="J14" s="2"/>
      <c r="K14" s="2"/>
      <c r="L14" s="2"/>
      <c r="M14" s="29"/>
    </row>
    <row r="15" spans="2:13" ht="15.75" customHeight="1" x14ac:dyDescent="0.2">
      <c r="B15" t="s">
        <v>8</v>
      </c>
      <c r="C15" s="2">
        <v>1136027</v>
      </c>
      <c r="D15" s="2">
        <v>1280454</v>
      </c>
      <c r="E15" s="2">
        <v>1482620</v>
      </c>
      <c r="F15" s="2">
        <v>1763308</v>
      </c>
      <c r="G15" s="2">
        <v>2556935</v>
      </c>
      <c r="H15" s="2"/>
      <c r="I15" s="2"/>
      <c r="J15" s="2"/>
      <c r="K15" s="2"/>
      <c r="L15" s="2"/>
      <c r="M15" s="29"/>
    </row>
    <row r="16" spans="2:13" ht="15.75" customHeight="1" x14ac:dyDescent="0.2">
      <c r="B16" t="s">
        <v>9</v>
      </c>
      <c r="C16" s="2">
        <v>113715</v>
      </c>
      <c r="D16" s="2">
        <v>107781</v>
      </c>
      <c r="E16" s="2">
        <v>120455</v>
      </c>
      <c r="F16" s="2">
        <v>118734</v>
      </c>
      <c r="G16" s="2">
        <v>126828</v>
      </c>
      <c r="I16" s="2"/>
      <c r="J16" s="2"/>
      <c r="K16" s="2"/>
      <c r="L16" s="2"/>
      <c r="M16" s="29"/>
    </row>
    <row r="17" spans="2:13" ht="15.75" customHeight="1" x14ac:dyDescent="0.2">
      <c r="B17" t="s">
        <v>10</v>
      </c>
      <c r="C17" s="2">
        <f>12105+8216</f>
        <v>20321</v>
      </c>
      <c r="D17" s="2">
        <v>19157</v>
      </c>
      <c r="E17" s="2">
        <v>18149</v>
      </c>
      <c r="F17" s="2">
        <v>17296</v>
      </c>
      <c r="G17" s="2">
        <v>16442</v>
      </c>
      <c r="H17" s="2"/>
      <c r="I17" s="2"/>
      <c r="J17" s="2"/>
      <c r="K17" s="2"/>
      <c r="L17" s="2"/>
      <c r="M17" s="29"/>
    </row>
    <row r="18" spans="2:13" ht="15.75" customHeight="1" x14ac:dyDescent="0.2">
      <c r="B18" t="s">
        <v>11</v>
      </c>
      <c r="C18" s="2">
        <v>7015</v>
      </c>
      <c r="D18" s="2">
        <v>21603</v>
      </c>
      <c r="E18" s="2">
        <v>22600</v>
      </c>
      <c r="F18" s="2">
        <v>35533</v>
      </c>
      <c r="G18" s="2">
        <v>30883</v>
      </c>
      <c r="H18" s="2"/>
      <c r="I18" s="2"/>
      <c r="J18" s="2"/>
      <c r="K18" s="2"/>
      <c r="L18" s="2"/>
      <c r="M18" s="29"/>
    </row>
    <row r="19" spans="2:13" ht="15.75" customHeight="1" thickBot="1" x14ac:dyDescent="0.25">
      <c r="B19" s="7" t="s">
        <v>12</v>
      </c>
      <c r="C19" s="8">
        <v>1548774</v>
      </c>
      <c r="D19" s="8">
        <v>1845250</v>
      </c>
      <c r="E19" s="8">
        <v>2174710</v>
      </c>
      <c r="F19" s="8">
        <v>2583565</v>
      </c>
      <c r="G19" s="8">
        <v>3166857</v>
      </c>
      <c r="H19" s="47"/>
      <c r="I19" s="47"/>
      <c r="J19" s="47"/>
      <c r="K19" s="47"/>
      <c r="L19" s="47"/>
      <c r="M19" s="29"/>
    </row>
    <row r="20" spans="2:13" ht="15.75" customHeight="1" thickTop="1" x14ac:dyDescent="0.2">
      <c r="B20" s="5"/>
      <c r="C20" s="11"/>
      <c r="D20" s="11"/>
      <c r="E20" s="11"/>
      <c r="F20" s="11"/>
      <c r="G20" s="11"/>
      <c r="H20" s="11"/>
      <c r="I20" s="11"/>
      <c r="J20" s="2"/>
      <c r="K20" s="2"/>
      <c r="L20" s="2"/>
      <c r="M20" s="29"/>
    </row>
    <row r="21" spans="2:13" ht="15.75" customHeight="1" x14ac:dyDescent="0.2">
      <c r="B21" s="5" t="s">
        <v>32</v>
      </c>
      <c r="C21" s="2"/>
      <c r="D21" s="2"/>
      <c r="E21" s="2"/>
      <c r="F21" s="2"/>
      <c r="G21" s="2"/>
      <c r="H21" s="2"/>
      <c r="I21" s="2"/>
      <c r="J21" s="2"/>
      <c r="K21" s="2"/>
      <c r="L21" s="2"/>
      <c r="M21" s="29"/>
    </row>
    <row r="22" spans="2:13" ht="15.75" customHeight="1" x14ac:dyDescent="0.2">
      <c r="B22" t="s">
        <v>13</v>
      </c>
      <c r="C22" s="2">
        <v>89381</v>
      </c>
      <c r="D22" s="2">
        <v>114010</v>
      </c>
      <c r="E22" s="2">
        <v>99792</v>
      </c>
      <c r="F22" s="2">
        <v>141877</v>
      </c>
      <c r="G22" s="2">
        <v>114560</v>
      </c>
      <c r="H22" s="2">
        <f>$H$48*IS!H5/365</f>
        <v>153986.78116327414</v>
      </c>
      <c r="I22" s="2">
        <f>$H$48*IS!I5/365</f>
        <v>168284.71343216379</v>
      </c>
      <c r="J22" s="2">
        <f>$H$48*IS!J5/365</f>
        <v>183910.23282003467</v>
      </c>
      <c r="K22" s="2">
        <f>$H$48*IS!K5/365</f>
        <v>200986.60802933562</v>
      </c>
      <c r="L22" s="2">
        <f>$H$48*IS!L5/365</f>
        <v>219648.55346938147</v>
      </c>
      <c r="M22" s="29"/>
    </row>
    <row r="23" spans="2:13" ht="15.75" customHeight="1" x14ac:dyDescent="0.2">
      <c r="B23" t="s">
        <v>14</v>
      </c>
      <c r="C23" s="2">
        <v>55392</v>
      </c>
      <c r="D23" s="2">
        <v>73109</v>
      </c>
      <c r="E23" s="2">
        <v>66684</v>
      </c>
      <c r="F23" s="2">
        <v>75514</v>
      </c>
      <c r="G23" s="2">
        <v>49953</v>
      </c>
      <c r="H23" s="2">
        <f>AVERAGE($C$23:$G$23)*(1+_xlfn.XLOOKUP('Inputs &amp; Assumptions'!$D$5,'Inputs &amp; Assumptions'!$B$22:$B$24,'Inputs &amp; Assumptions'!$E$22:$E$24,'Inputs &amp; Assumptions'!$E$22))</f>
        <v>66118.4424</v>
      </c>
      <c r="I23" s="2">
        <f>H23*(1+_xlfn.XLOOKUP('Inputs &amp; Assumptions'!$D$5,'Inputs &amp; Assumptions'!$B$22:$B$24,'Inputs &amp; Assumptions'!$F$22:$F$24))</f>
        <v>68234.232556800009</v>
      </c>
      <c r="J23" s="2">
        <f>I23*(1+_xlfn.XLOOKUP('Inputs &amp; Assumptions'!$D$5,'Inputs &amp; Assumptions'!$B$22:$B$24,'Inputs &amp; Assumptions'!$F$22:$F$24))</f>
        <v>70417.727998617615</v>
      </c>
      <c r="K23" s="2">
        <f>J23*(1+_xlfn.XLOOKUP('Inputs &amp; Assumptions'!$D$5,'Inputs &amp; Assumptions'!$B$22:$B$24,'Inputs &amp; Assumptions'!$F$22:$F$24))</f>
        <v>72671.095294573373</v>
      </c>
      <c r="L23" s="2">
        <f>K23*(1+_xlfn.XLOOKUP('Inputs &amp; Assumptions'!$D$5,'Inputs &amp; Assumptions'!$B$22:$B$24,'Inputs &amp; Assumptions'!$F$22:$F$24))</f>
        <v>74996.570343999731</v>
      </c>
      <c r="M23" s="29"/>
    </row>
    <row r="24" spans="2:13" ht="15.75" customHeight="1" x14ac:dyDescent="0.2">
      <c r="B24" t="s">
        <v>15</v>
      </c>
      <c r="C24" s="2">
        <v>49613</v>
      </c>
      <c r="D24" s="2">
        <v>54717</v>
      </c>
      <c r="E24" s="2">
        <v>45481</v>
      </c>
      <c r="F24" s="2">
        <v>41641</v>
      </c>
      <c r="G24" s="2">
        <v>43126</v>
      </c>
      <c r="H24" s="2">
        <v>45000</v>
      </c>
      <c r="I24" s="2">
        <v>45000</v>
      </c>
      <c r="J24" s="2">
        <v>45000</v>
      </c>
      <c r="K24" s="2">
        <v>45000</v>
      </c>
      <c r="L24" s="2">
        <v>45000</v>
      </c>
      <c r="M24" s="29"/>
    </row>
    <row r="25" spans="2:13" ht="15.75" customHeight="1" x14ac:dyDescent="0.2">
      <c r="B25" t="s">
        <v>16</v>
      </c>
      <c r="C25" s="2">
        <v>40571</v>
      </c>
      <c r="D25" s="2">
        <v>38551</v>
      </c>
      <c r="E25" s="2">
        <v>22684</v>
      </c>
      <c r="F25" s="2">
        <v>27094</v>
      </c>
      <c r="G25" s="2">
        <v>38036</v>
      </c>
      <c r="H25" s="2">
        <v>30000</v>
      </c>
      <c r="I25" s="2">
        <v>30000</v>
      </c>
      <c r="J25" s="2">
        <v>30000</v>
      </c>
      <c r="K25" s="2">
        <v>30000</v>
      </c>
      <c r="L25" s="2">
        <v>30000</v>
      </c>
      <c r="M25" s="29"/>
    </row>
    <row r="26" spans="2:13" ht="15.75" customHeight="1" x14ac:dyDescent="0.2">
      <c r="B26" t="s">
        <v>17</v>
      </c>
      <c r="C26" s="2">
        <v>20588</v>
      </c>
      <c r="D26" s="2">
        <v>19396</v>
      </c>
      <c r="E26" s="2">
        <v>14519</v>
      </c>
      <c r="F26" s="2">
        <v>10173</v>
      </c>
      <c r="G26" s="2">
        <v>5313</v>
      </c>
      <c r="H26" s="2">
        <v>10000</v>
      </c>
      <c r="I26" s="2">
        <v>10000</v>
      </c>
      <c r="J26" s="2">
        <v>10000</v>
      </c>
      <c r="K26" s="2">
        <v>10000</v>
      </c>
      <c r="L26" s="2">
        <v>10000</v>
      </c>
      <c r="M26" s="29"/>
    </row>
    <row r="27" spans="2:13" ht="15.75" customHeight="1" x14ac:dyDescent="0.2">
      <c r="B27" t="s">
        <v>18</v>
      </c>
      <c r="C27" s="2">
        <v>20209</v>
      </c>
      <c r="D27" s="2">
        <v>21565</v>
      </c>
      <c r="E27" s="2">
        <v>24925</v>
      </c>
      <c r="F27" s="2">
        <v>25757</v>
      </c>
      <c r="G27" s="2">
        <v>27372</v>
      </c>
      <c r="H27" s="2">
        <v>25000</v>
      </c>
      <c r="I27" s="2">
        <v>25000</v>
      </c>
      <c r="J27" s="2">
        <v>25000</v>
      </c>
      <c r="K27" s="2">
        <v>25000</v>
      </c>
      <c r="L27" s="2">
        <v>25000</v>
      </c>
      <c r="M27" s="29"/>
    </row>
    <row r="28" spans="2:13" ht="15.75" customHeight="1" thickBot="1" x14ac:dyDescent="0.25">
      <c r="B28" s="6" t="s">
        <v>19</v>
      </c>
      <c r="C28" s="47">
        <v>275754</v>
      </c>
      <c r="D28" s="47">
        <v>321348</v>
      </c>
      <c r="E28" s="47">
        <v>274085</v>
      </c>
      <c r="F28" s="47">
        <v>322056</v>
      </c>
      <c r="G28" s="47">
        <v>278360</v>
      </c>
      <c r="H28" s="47">
        <f>SUM(H22:H27)</f>
        <v>330105.22356327414</v>
      </c>
      <c r="I28" s="47">
        <f t="shared" ref="I28:L28" si="1">SUM(I22:I27)</f>
        <v>346518.94598896382</v>
      </c>
      <c r="J28" s="47">
        <f t="shared" si="1"/>
        <v>364327.9608186523</v>
      </c>
      <c r="K28" s="47">
        <f t="shared" si="1"/>
        <v>383657.70332390897</v>
      </c>
      <c r="L28" s="47">
        <f t="shared" si="1"/>
        <v>404645.12381338119</v>
      </c>
      <c r="M28" s="29"/>
    </row>
    <row r="29" spans="2:13" ht="15.75" customHeight="1" thickTop="1" x14ac:dyDescent="0.2">
      <c r="C29" s="2"/>
      <c r="D29" s="2"/>
      <c r="E29" s="2"/>
      <c r="F29" s="2"/>
      <c r="G29" s="2"/>
      <c r="H29" s="2"/>
      <c r="I29" s="2"/>
      <c r="J29" s="2"/>
      <c r="K29" s="2"/>
      <c r="L29" s="2"/>
      <c r="M29" s="29"/>
    </row>
    <row r="30" spans="2:13" ht="15.75" customHeight="1" x14ac:dyDescent="0.2">
      <c r="B30" t="s">
        <v>20</v>
      </c>
      <c r="C30" s="2">
        <v>50388</v>
      </c>
      <c r="D30" s="2">
        <v>31008</v>
      </c>
      <c r="E30" s="2">
        <v>16489</v>
      </c>
      <c r="F30" s="2">
        <v>6315</v>
      </c>
      <c r="G30" s="2">
        <v>194981</v>
      </c>
      <c r="H30" s="2"/>
      <c r="I30" s="2"/>
      <c r="J30" s="2"/>
      <c r="K30" s="2"/>
      <c r="L30" s="2"/>
      <c r="M30" s="29"/>
    </row>
    <row r="31" spans="2:13" ht="15.75" customHeight="1" x14ac:dyDescent="0.2">
      <c r="B31" t="s">
        <v>21</v>
      </c>
      <c r="C31" s="2">
        <v>95321</v>
      </c>
      <c r="D31" s="2">
        <v>88409</v>
      </c>
      <c r="E31" s="2">
        <v>98581</v>
      </c>
      <c r="F31" s="2">
        <v>96462</v>
      </c>
      <c r="G31" s="2">
        <v>96798</v>
      </c>
      <c r="H31" s="2"/>
      <c r="I31" s="2"/>
      <c r="J31" s="2"/>
      <c r="K31" s="2"/>
      <c r="L31" s="2"/>
      <c r="M31" s="29"/>
    </row>
    <row r="32" spans="2:13" ht="15.75" customHeight="1" x14ac:dyDescent="0.2">
      <c r="B32" t="s">
        <v>22</v>
      </c>
      <c r="C32" s="2">
        <v>119818</v>
      </c>
      <c r="D32" s="2">
        <v>124137</v>
      </c>
      <c r="E32" s="2">
        <v>145771</v>
      </c>
      <c r="F32" s="2">
        <v>155841</v>
      </c>
      <c r="G32" s="2">
        <v>219062</v>
      </c>
      <c r="H32" s="2"/>
      <c r="I32" s="2"/>
      <c r="J32" s="2"/>
      <c r="K32" s="2"/>
      <c r="L32" s="2"/>
      <c r="M32" s="29"/>
    </row>
    <row r="33" spans="2:18" ht="15.75" customHeight="1" x14ac:dyDescent="0.2">
      <c r="B33" t="s">
        <v>23</v>
      </c>
      <c r="C33" s="2">
        <v>46205</v>
      </c>
      <c r="D33" s="2">
        <v>60015</v>
      </c>
      <c r="E33" s="2">
        <v>60443</v>
      </c>
      <c r="F33" s="2">
        <v>61397</v>
      </c>
      <c r="G33" s="2">
        <v>66385</v>
      </c>
      <c r="H33" s="2"/>
      <c r="I33" s="2"/>
      <c r="J33" s="2"/>
      <c r="K33" s="2"/>
      <c r="L33" s="2"/>
      <c r="M33" s="29"/>
    </row>
    <row r="34" spans="2:18" ht="15.75" customHeight="1" thickBot="1" x14ac:dyDescent="0.25">
      <c r="B34" s="14" t="s">
        <v>54</v>
      </c>
      <c r="C34" s="47">
        <f>SUM(C28,C30:C33)</f>
        <v>587486</v>
      </c>
      <c r="D34" s="47">
        <f>SUM(D28,D30:D33)</f>
        <v>624917</v>
      </c>
      <c r="E34" s="47">
        <f>SUM(E28,E30:E33)</f>
        <v>595369</v>
      </c>
      <c r="F34" s="47">
        <f>SUM(F28,F30:F33)</f>
        <v>642071</v>
      </c>
      <c r="G34" s="47">
        <f>SUM(G28,G30:G33)</f>
        <v>855586</v>
      </c>
      <c r="H34" s="47"/>
      <c r="I34" s="47"/>
      <c r="J34" s="47"/>
      <c r="K34" s="47"/>
      <c r="L34" s="47"/>
      <c r="M34" s="29"/>
    </row>
    <row r="35" spans="2:18" ht="15.75" customHeight="1" thickTop="1" x14ac:dyDescent="0.2">
      <c r="C35" s="2"/>
      <c r="D35" s="52"/>
      <c r="E35" s="52"/>
      <c r="F35" s="52"/>
      <c r="G35" s="52"/>
      <c r="H35" s="2"/>
      <c r="I35" s="52"/>
      <c r="J35" s="2"/>
      <c r="K35" s="2"/>
      <c r="L35" s="2"/>
      <c r="M35" s="170"/>
    </row>
    <row r="36" spans="2:18" ht="15.75" customHeight="1" x14ac:dyDescent="0.2">
      <c r="B36" s="5" t="s">
        <v>56</v>
      </c>
      <c r="C36" s="2"/>
      <c r="D36" s="2"/>
      <c r="E36" s="2"/>
      <c r="F36" s="2"/>
      <c r="G36" s="2"/>
      <c r="H36" s="2"/>
      <c r="I36" s="2"/>
      <c r="J36" s="2"/>
      <c r="K36" s="2"/>
      <c r="L36" s="2"/>
      <c r="M36" s="2"/>
    </row>
    <row r="37" spans="2:18" ht="15.75" customHeight="1" x14ac:dyDescent="0.2">
      <c r="B37" t="s">
        <v>24</v>
      </c>
      <c r="C37" s="2">
        <v>0</v>
      </c>
      <c r="D37" s="2">
        <v>0</v>
      </c>
      <c r="E37" s="2">
        <v>0</v>
      </c>
      <c r="F37" s="2">
        <v>0</v>
      </c>
      <c r="G37" s="2">
        <v>0</v>
      </c>
      <c r="H37" s="2"/>
      <c r="I37" s="2"/>
      <c r="J37" s="2"/>
      <c r="K37" s="2"/>
      <c r="L37" s="2"/>
      <c r="M37" s="2"/>
    </row>
    <row r="38" spans="2:18" ht="15.75" customHeight="1" x14ac:dyDescent="0.2">
      <c r="B38" t="s">
        <v>25</v>
      </c>
      <c r="C38" s="2">
        <v>26</v>
      </c>
      <c r="D38" s="2">
        <v>26</v>
      </c>
      <c r="E38" s="2">
        <v>26</v>
      </c>
      <c r="F38" s="2">
        <v>27</v>
      </c>
      <c r="G38" s="2">
        <v>27</v>
      </c>
      <c r="H38" s="2"/>
      <c r="I38" s="2"/>
      <c r="J38" s="2"/>
      <c r="K38" s="2"/>
      <c r="L38" s="2"/>
      <c r="M38" s="2"/>
    </row>
    <row r="39" spans="2:18" ht="15.75" customHeight="1" x14ac:dyDescent="0.2">
      <c r="B39" t="s">
        <v>26</v>
      </c>
      <c r="C39" s="2">
        <v>267666</v>
      </c>
      <c r="D39" s="2">
        <v>274633</v>
      </c>
      <c r="E39" s="2">
        <v>277366</v>
      </c>
      <c r="F39" s="2">
        <v>285092</v>
      </c>
      <c r="G39" s="2">
        <v>295106</v>
      </c>
      <c r="H39" s="2"/>
      <c r="I39" s="2"/>
      <c r="J39" s="2"/>
      <c r="K39" s="2"/>
      <c r="L39" s="2"/>
      <c r="M39" s="2"/>
    </row>
    <row r="40" spans="2:18" ht="15.75" customHeight="1" x14ac:dyDescent="0.2">
      <c r="B40" t="s">
        <v>27</v>
      </c>
      <c r="C40" s="2">
        <v>-2944</v>
      </c>
      <c r="D40" s="2">
        <v>-4101</v>
      </c>
      <c r="E40" s="2">
        <v>-5248</v>
      </c>
      <c r="F40" s="2">
        <v>-5679</v>
      </c>
      <c r="G40" s="2">
        <v>-7981</v>
      </c>
      <c r="H40" s="2"/>
      <c r="I40" s="2"/>
      <c r="J40" s="2"/>
      <c r="K40" s="2"/>
      <c r="L40" s="2"/>
      <c r="M40" s="2"/>
    </row>
    <row r="41" spans="2:18" ht="15.75" customHeight="1" x14ac:dyDescent="0.2">
      <c r="B41" t="s">
        <v>28</v>
      </c>
      <c r="C41" s="2">
        <v>696540</v>
      </c>
      <c r="D41" s="2">
        <v>949775</v>
      </c>
      <c r="E41" s="2">
        <v>1307197</v>
      </c>
      <c r="F41" s="2">
        <v>1662054</v>
      </c>
      <c r="G41" s="2">
        <v>2024119</v>
      </c>
      <c r="H41" s="2"/>
      <c r="I41" s="2"/>
      <c r="J41" s="2"/>
      <c r="K41" s="2"/>
      <c r="L41" s="2"/>
      <c r="M41" s="2"/>
    </row>
    <row r="42" spans="2:18" ht="15.75" customHeight="1" thickBot="1" x14ac:dyDescent="0.25">
      <c r="B42" s="6" t="s">
        <v>29</v>
      </c>
      <c r="C42" s="47">
        <v>961288</v>
      </c>
      <c r="D42" s="47">
        <v>1220333</v>
      </c>
      <c r="E42" s="47">
        <v>1579341</v>
      </c>
      <c r="F42" s="47">
        <v>1941494</v>
      </c>
      <c r="G42" s="47">
        <v>2311271</v>
      </c>
      <c r="H42" s="47"/>
      <c r="I42" s="47"/>
      <c r="J42" s="47"/>
      <c r="K42" s="47"/>
      <c r="L42" s="47"/>
      <c r="M42" s="2"/>
    </row>
    <row r="43" spans="2:18" ht="15.75" customHeight="1" thickTop="1" thickBot="1" x14ac:dyDescent="0.25">
      <c r="B43" s="9"/>
      <c r="C43" s="50"/>
      <c r="D43" s="50"/>
      <c r="E43" s="50"/>
      <c r="F43" s="50"/>
      <c r="G43" s="50"/>
      <c r="H43" s="52"/>
      <c r="I43" s="2"/>
      <c r="J43" s="2"/>
      <c r="K43" s="2"/>
      <c r="L43" s="2"/>
      <c r="M43" s="2"/>
    </row>
    <row r="44" spans="2:18" ht="15.75" customHeight="1" thickTop="1" thickBot="1" x14ac:dyDescent="0.25">
      <c r="B44" s="10" t="s">
        <v>30</v>
      </c>
      <c r="C44" s="51">
        <v>1548774</v>
      </c>
      <c r="D44" s="51">
        <v>1845250</v>
      </c>
      <c r="E44" s="51">
        <v>2174710</v>
      </c>
      <c r="F44" s="51">
        <v>2583565</v>
      </c>
      <c r="G44" s="51">
        <v>3166857</v>
      </c>
      <c r="H44" s="47"/>
      <c r="I44" s="47"/>
      <c r="J44" s="47"/>
      <c r="K44" s="47"/>
      <c r="L44" s="47"/>
      <c r="M44" s="2"/>
    </row>
    <row r="45" spans="2:18" ht="15.75" customHeight="1" thickTop="1" x14ac:dyDescent="0.2">
      <c r="C45" s="2"/>
      <c r="D45" s="52"/>
      <c r="E45" s="52"/>
      <c r="F45" s="52"/>
      <c r="G45" s="52"/>
      <c r="H45" s="2"/>
      <c r="I45" s="2"/>
      <c r="J45" s="2"/>
      <c r="K45" s="2"/>
      <c r="L45" s="2"/>
      <c r="M45" s="2"/>
    </row>
    <row r="46" spans="2:18" ht="15.75" customHeight="1" x14ac:dyDescent="0.2">
      <c r="C46" s="2"/>
      <c r="D46" s="2"/>
      <c r="E46" s="2"/>
      <c r="F46" s="52"/>
      <c r="G46" s="2"/>
      <c r="H46" s="92" t="s">
        <v>139</v>
      </c>
      <c r="I46" s="2"/>
      <c r="J46" s="2"/>
      <c r="K46" s="2"/>
      <c r="L46" s="2"/>
      <c r="M46" s="2"/>
      <c r="N46" s="2"/>
      <c r="O46" s="2"/>
      <c r="P46" s="2"/>
      <c r="Q46" s="2"/>
      <c r="R46" s="2"/>
    </row>
    <row r="47" spans="2:18" ht="15.75" customHeight="1" x14ac:dyDescent="0.2">
      <c r="B47" s="24" t="s">
        <v>137</v>
      </c>
      <c r="C47" s="3">
        <f>C7*365/IS!C5</f>
        <v>43.442500024693175</v>
      </c>
      <c r="D47" s="3">
        <f>D7*365/IS!D5</f>
        <v>44.136583411397893</v>
      </c>
      <c r="E47" s="3">
        <f>E7*365/IS!E5</f>
        <v>37.951119909084952</v>
      </c>
      <c r="F47" s="3">
        <f>F7*365/IS!F5</f>
        <v>39.489320070950811</v>
      </c>
      <c r="G47" s="3">
        <f>G7*365/IS!G5</f>
        <v>36.736988614160971</v>
      </c>
      <c r="H47" s="93">
        <f>AVERAGE(C47:G47)</f>
        <v>40.351302406057563</v>
      </c>
    </row>
    <row r="48" spans="2:18" ht="15.75" customHeight="1" x14ac:dyDescent="0.2">
      <c r="B48" s="24" t="s">
        <v>138</v>
      </c>
      <c r="C48" s="3">
        <f>C22*365/IS!C5</f>
        <v>17.902037790432878</v>
      </c>
      <c r="D48" s="3">
        <f>D22*365/IS!D5</f>
        <v>18.182189571041079</v>
      </c>
      <c r="E48" s="3">
        <f>E22*365/IS!E5</f>
        <v>13.045607593254722</v>
      </c>
      <c r="F48" s="3">
        <f>F22*365/IS!F5</f>
        <v>17.971996919588275</v>
      </c>
      <c r="G48" s="3">
        <f>G22*365/IS!G5</f>
        <v>13.030051659762286</v>
      </c>
      <c r="H48" s="93">
        <f>AVERAGE(C48:G48)</f>
        <v>16.026376706815846</v>
      </c>
    </row>
    <row r="49" spans="2:2" ht="15.75" customHeight="1" x14ac:dyDescent="0.2">
      <c r="B49"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D2137-94DD-4825-81D4-7A4014B11489}">
  <sheetPr>
    <tabColor rgb="FFFF0000"/>
    <outlinePr summaryBelow="0" summaryRight="0"/>
  </sheetPr>
  <dimension ref="A3:N54"/>
  <sheetViews>
    <sheetView showGridLines="0" topLeftCell="B1" zoomScale="101" zoomScaleNormal="80" workbookViewId="0"/>
  </sheetViews>
  <sheetFormatPr defaultColWidth="12.5703125" defaultRowHeight="15.75" customHeight="1" x14ac:dyDescent="0.2"/>
  <cols>
    <col min="1" max="1" width="3.85546875" customWidth="1"/>
    <col min="2" max="2" width="34.7109375" customWidth="1"/>
    <col min="4" max="7" width="12.5703125" style="4"/>
    <col min="8" max="9" width="11.85546875" customWidth="1"/>
  </cols>
  <sheetData>
    <row r="3" spans="1:14" ht="15.75" customHeight="1" x14ac:dyDescent="0.2">
      <c r="B3" s="54" t="s">
        <v>52</v>
      </c>
      <c r="C3" s="55">
        <v>2020</v>
      </c>
      <c r="D3" s="56">
        <v>2021</v>
      </c>
      <c r="E3" s="56">
        <v>2022</v>
      </c>
      <c r="F3" s="56">
        <v>2023</v>
      </c>
      <c r="G3" s="56">
        <v>2024</v>
      </c>
      <c r="H3" s="57">
        <v>2025</v>
      </c>
      <c r="I3" s="57">
        <v>2026</v>
      </c>
      <c r="J3" s="57">
        <v>2027</v>
      </c>
      <c r="K3" s="57">
        <v>2028</v>
      </c>
      <c r="L3" s="57">
        <v>2029</v>
      </c>
    </row>
    <row r="4" spans="1:14" ht="15.75" customHeight="1" x14ac:dyDescent="0.2">
      <c r="B4" s="40"/>
      <c r="C4" s="41"/>
      <c r="D4" s="41"/>
      <c r="E4" s="41"/>
      <c r="F4" s="41"/>
      <c r="G4" s="41"/>
      <c r="H4" s="29"/>
      <c r="I4" s="30"/>
      <c r="J4" s="42"/>
      <c r="K4" s="42"/>
      <c r="L4" s="42"/>
      <c r="M4" s="29"/>
      <c r="N4" s="29"/>
    </row>
    <row r="5" spans="1:14" ht="15.75" customHeight="1" x14ac:dyDescent="0.2">
      <c r="B5" s="29" t="s">
        <v>33</v>
      </c>
      <c r="C5" s="18">
        <v>1822366</v>
      </c>
      <c r="D5" s="18">
        <v>2288704</v>
      </c>
      <c r="E5" s="2">
        <v>2792057</v>
      </c>
      <c r="F5" s="2">
        <v>2881433</v>
      </c>
      <c r="G5" s="2">
        <v>3209074</v>
      </c>
      <c r="H5" s="2">
        <f>G5*(1+H6)</f>
        <v>3507041.9317356744</v>
      </c>
      <c r="I5" s="2">
        <f>H5*(1+I6)</f>
        <v>3832676.688338222</v>
      </c>
      <c r="J5" s="2">
        <f>I5*(1+J6)</f>
        <v>4188547.181145703</v>
      </c>
      <c r="K5" s="2">
        <f>J5*(1+K6)</f>
        <v>4577460.8492453713</v>
      </c>
      <c r="L5" s="2">
        <f>K5*(1+L6)</f>
        <v>5002485.8071773686</v>
      </c>
      <c r="M5" s="2"/>
      <c r="N5" s="29"/>
    </row>
    <row r="6" spans="1:14" s="26" customFormat="1" ht="15.75" customHeight="1" x14ac:dyDescent="0.2">
      <c r="A6" s="25"/>
      <c r="B6" s="43" t="s">
        <v>94</v>
      </c>
      <c r="C6" s="44"/>
      <c r="D6" s="44">
        <f>D5/C5 - 1</f>
        <v>0.25589700422417883</v>
      </c>
      <c r="E6" s="44">
        <f t="shared" ref="E6:G6" si="0">E5/D5 - 1</f>
        <v>0.21992927001482054</v>
      </c>
      <c r="F6" s="44">
        <f t="shared" si="0"/>
        <v>3.2010807802276275E-2</v>
      </c>
      <c r="G6" s="44">
        <f t="shared" si="0"/>
        <v>0.11370765865456534</v>
      </c>
      <c r="H6" s="128">
        <f>IF('Inputs &amp; Assumptions'!$D$4&lt;&gt;5,_xlfn.XLOOKUP('Inputs &amp; Assumptions'!$D$4,'Inputs &amp; Assumptions'!$B$12:$B$17,'Inputs &amp; Assumptions'!$D$12:$D$17,'Inputs &amp; Assumptions'!$D$13),'Inputs &amp; Assumptions'!$D$17*POWER(0.98,1+COLUMN(IS!H5)-COLUMNS(IS!$G$5)))</f>
        <v>9.2851686104986939E-2</v>
      </c>
      <c r="I6" s="128">
        <f>IF('Inputs &amp; Assumptions'!$D$4&lt;&gt;5,_xlfn.XLOOKUP('Inputs &amp; Assumptions'!$D$4,'Inputs &amp; Assumptions'!$B$12:$B$17,'Inputs &amp; Assumptions'!$D$12:$D$17,'Inputs &amp; Assumptions'!$D$13),'Inputs &amp; Assumptions'!$D$17*POWER(0.98,1+COLUMN(IS!I5)-COLUMNS(IS!$G$5)))</f>
        <v>9.2851686104986939E-2</v>
      </c>
      <c r="J6" s="128">
        <f>IF('Inputs &amp; Assumptions'!$D$4&lt;&gt;5,_xlfn.XLOOKUP('Inputs &amp; Assumptions'!$D$4,'Inputs &amp; Assumptions'!$B$12:$B$17,'Inputs &amp; Assumptions'!$D$12:$D$17,'Inputs &amp; Assumptions'!$D$13),'Inputs &amp; Assumptions'!$D$17*POWER(0.98,1+COLUMN(IS!J5)-COLUMNS(IS!$G$5)))</f>
        <v>9.2851686104986939E-2</v>
      </c>
      <c r="K6" s="128">
        <f>IF('Inputs &amp; Assumptions'!$D$4&lt;&gt;5,_xlfn.XLOOKUP('Inputs &amp; Assumptions'!$D$4,'Inputs &amp; Assumptions'!$B$12:$B$17,'Inputs &amp; Assumptions'!$D$12:$D$17,'Inputs &amp; Assumptions'!$D$13),'Inputs &amp; Assumptions'!$D$17*POWER(0.98,1+COLUMN(IS!K5)-COLUMNS(IS!$G$5)))</f>
        <v>9.2851686104986939E-2</v>
      </c>
      <c r="L6" s="128">
        <f>IF('Inputs &amp; Assumptions'!$D$4&lt;&gt;5,_xlfn.XLOOKUP('Inputs &amp; Assumptions'!$D$4,'Inputs &amp; Assumptions'!$B$12:$B$17,'Inputs &amp; Assumptions'!$D$12:$D$17,'Inputs &amp; Assumptions'!$D$13),'Inputs &amp; Assumptions'!$D$17*POWER(0.98,1+COLUMN(IS!L5)-COLUMNS(IS!$G$5)))</f>
        <v>9.2851686104986939E-2</v>
      </c>
      <c r="M6" s="32"/>
      <c r="N6" s="31"/>
    </row>
    <row r="7" spans="1:14" ht="15.75" customHeight="1" x14ac:dyDescent="0.2">
      <c r="B7" s="29"/>
      <c r="D7" s="18"/>
      <c r="E7" s="2"/>
      <c r="F7" s="2"/>
      <c r="G7" s="2"/>
      <c r="H7" s="2"/>
      <c r="I7" s="15"/>
      <c r="J7" s="18"/>
      <c r="K7" s="2"/>
      <c r="L7" s="2"/>
      <c r="M7" s="2"/>
      <c r="N7" s="29"/>
    </row>
    <row r="8" spans="1:14" ht="15.75" customHeight="1" x14ac:dyDescent="0.2">
      <c r="B8" s="29" t="s">
        <v>34</v>
      </c>
      <c r="C8" s="18">
        <v>963260</v>
      </c>
      <c r="D8" s="18">
        <v>1063703</v>
      </c>
      <c r="E8" s="2">
        <v>1169539</v>
      </c>
      <c r="F8" s="2">
        <v>1301280</v>
      </c>
      <c r="G8" s="2">
        <v>1487847</v>
      </c>
      <c r="H8" s="2">
        <f>H9*H5</f>
        <v>1593251.8520721712</v>
      </c>
      <c r="I8" s="2">
        <f t="shared" ref="I8:L8" si="1">I9*I5</f>
        <v>1741187.9729269654</v>
      </c>
      <c r="J8" s="2">
        <f t="shared" si="1"/>
        <v>1902860.2120389582</v>
      </c>
      <c r="K8" s="2">
        <f t="shared" si="1"/>
        <v>2079543.9911488683</v>
      </c>
      <c r="L8" s="2">
        <f t="shared" si="1"/>
        <v>2272633.1570565342</v>
      </c>
      <c r="M8" s="2"/>
      <c r="N8" s="29"/>
    </row>
    <row r="9" spans="1:14" s="26" customFormat="1" ht="15.75" customHeight="1" x14ac:dyDescent="0.2">
      <c r="B9" s="45" t="s">
        <v>100</v>
      </c>
      <c r="C9" s="44">
        <f>C8/C5</f>
        <v>0.52857658670102492</v>
      </c>
      <c r="D9" s="44">
        <f t="shared" ref="D9:G9" si="2">D8/D5</f>
        <v>0.46476215360308715</v>
      </c>
      <c r="E9" s="44">
        <f t="shared" si="2"/>
        <v>0.41888077499850468</v>
      </c>
      <c r="F9" s="44">
        <f t="shared" si="2"/>
        <v>0.45160862667984991</v>
      </c>
      <c r="G9" s="44">
        <f t="shared" si="2"/>
        <v>0.46363748545530581</v>
      </c>
      <c r="H9" s="45">
        <f>'Inputs &amp; Assumptions'!$B$36</f>
        <v>0.45430077058806451</v>
      </c>
      <c r="I9" s="45">
        <f>'Inputs &amp; Assumptions'!$B$36</f>
        <v>0.45430077058806451</v>
      </c>
      <c r="J9" s="45">
        <f>'Inputs &amp; Assumptions'!$B$36</f>
        <v>0.45430077058806451</v>
      </c>
      <c r="K9" s="45">
        <f>'Inputs &amp; Assumptions'!$B$36</f>
        <v>0.45430077058806451</v>
      </c>
      <c r="L9" s="45">
        <f>'Inputs &amp; Assumptions'!$B$36</f>
        <v>0.45430077058806451</v>
      </c>
    </row>
    <row r="10" spans="1:14" ht="15.75" customHeight="1" x14ac:dyDescent="0.2">
      <c r="B10" s="29" t="s">
        <v>35</v>
      </c>
      <c r="C10" s="18">
        <v>141369</v>
      </c>
      <c r="D10" s="18">
        <v>249710</v>
      </c>
      <c r="E10" s="2">
        <v>315896</v>
      </c>
      <c r="F10" s="2">
        <v>238688</v>
      </c>
      <c r="G10" s="2">
        <v>237306</v>
      </c>
      <c r="H10" s="2">
        <f>G10*(1+H11)</f>
        <v>225440.69999999998</v>
      </c>
      <c r="I10" s="2">
        <f t="shared" ref="I10:L10" si="3">H10*(1+I11)</f>
        <v>214168.66499999998</v>
      </c>
      <c r="J10" s="2">
        <f t="shared" si="3"/>
        <v>203460.23174999998</v>
      </c>
      <c r="K10" s="2">
        <f t="shared" si="3"/>
        <v>193287.22016249996</v>
      </c>
      <c r="L10" s="2">
        <f t="shared" si="3"/>
        <v>183622.85915437495</v>
      </c>
      <c r="M10" s="2"/>
      <c r="N10" s="29"/>
    </row>
    <row r="11" spans="1:14" s="26" customFormat="1" ht="15.75" customHeight="1" x14ac:dyDescent="0.2">
      <c r="B11" s="45" t="s">
        <v>94</v>
      </c>
      <c r="C11" s="44"/>
      <c r="D11" s="44">
        <f>D10/C10-1</f>
        <v>0.76637027919840994</v>
      </c>
      <c r="E11" s="44">
        <f t="shared" ref="E11" si="4">E10/D10-1</f>
        <v>0.26505145969324406</v>
      </c>
      <c r="F11" s="44">
        <f t="shared" ref="F11" si="5">F10/E10-1</f>
        <v>-0.24440955251095298</v>
      </c>
      <c r="G11" s="44">
        <f t="shared" ref="G11" si="6">G10/F10-1</f>
        <v>-5.789985252714791E-3</v>
      </c>
      <c r="H11" s="45">
        <f>'Inputs &amp; Assumptions'!$B$37</f>
        <v>-0.05</v>
      </c>
      <c r="I11" s="45">
        <f>'Inputs &amp; Assumptions'!$B$37</f>
        <v>-0.05</v>
      </c>
      <c r="J11" s="45">
        <f>'Inputs &amp; Assumptions'!$B$37</f>
        <v>-0.05</v>
      </c>
      <c r="K11" s="45">
        <f>'Inputs &amp; Assumptions'!$B$37</f>
        <v>-0.05</v>
      </c>
      <c r="L11" s="45">
        <f>'Inputs &amp; Assumptions'!$B$37</f>
        <v>-0.05</v>
      </c>
    </row>
    <row r="12" spans="1:14" ht="15.75" customHeight="1" x14ac:dyDescent="0.2">
      <c r="B12" s="29" t="s">
        <v>36</v>
      </c>
      <c r="C12" s="18">
        <v>299234</v>
      </c>
      <c r="D12" s="18">
        <v>381904</v>
      </c>
      <c r="E12" s="2">
        <v>558456</v>
      </c>
      <c r="F12" s="2">
        <v>563688</v>
      </c>
      <c r="G12" s="2">
        <v>629402</v>
      </c>
      <c r="H12" s="2">
        <f>H13*H5</f>
        <v>644907.76686268847</v>
      </c>
      <c r="I12" s="2">
        <f>I13*I5</f>
        <v>704788.54039809096</v>
      </c>
      <c r="J12" s="2">
        <f>J13*J5</f>
        <v>770229.34472152626</v>
      </c>
      <c r="K12" s="2">
        <f>K13*K5</f>
        <v>841746.43806645914</v>
      </c>
      <c r="L12" s="2">
        <f>L13*L5</f>
        <v>919904.01411379664</v>
      </c>
      <c r="M12" s="2"/>
      <c r="N12" s="29"/>
    </row>
    <row r="13" spans="1:14" s="26" customFormat="1" ht="15.75" customHeight="1" x14ac:dyDescent="0.2">
      <c r="B13" s="45" t="s">
        <v>100</v>
      </c>
      <c r="C13" s="44">
        <f>C12/C5</f>
        <v>0.16420082464225078</v>
      </c>
      <c r="D13" s="44">
        <f>D12/D5</f>
        <v>0.1668647409188781</v>
      </c>
      <c r="E13" s="44">
        <f>E12/E5</f>
        <v>0.20001597388591996</v>
      </c>
      <c r="F13" s="44">
        <f>F12/F5</f>
        <v>0.19562766165307333</v>
      </c>
      <c r="G13" s="44">
        <f>G12/G5</f>
        <v>0.19613196828742496</v>
      </c>
      <c r="H13" s="45">
        <f>GEOMEAN($C$13:$G$13)</f>
        <v>0.1838893801145732</v>
      </c>
      <c r="I13" s="45">
        <f t="shared" ref="I13:L13" si="7">GEOMEAN($C$13:$G$13)</f>
        <v>0.1838893801145732</v>
      </c>
      <c r="J13" s="45">
        <f t="shared" si="7"/>
        <v>0.1838893801145732</v>
      </c>
      <c r="K13" s="45">
        <f t="shared" si="7"/>
        <v>0.1838893801145732</v>
      </c>
      <c r="L13" s="45">
        <f t="shared" si="7"/>
        <v>0.1838893801145732</v>
      </c>
    </row>
    <row r="14" spans="1:14" ht="15.75" customHeight="1" x14ac:dyDescent="0.2">
      <c r="B14" s="29" t="s">
        <v>37</v>
      </c>
      <c r="C14" s="18">
        <v>56294</v>
      </c>
      <c r="D14" s="18">
        <v>59095</v>
      </c>
      <c r="E14" s="2">
        <v>63824</v>
      </c>
      <c r="F14" s="2">
        <v>69542</v>
      </c>
      <c r="G14" s="2">
        <v>80128</v>
      </c>
      <c r="H14" s="2">
        <f>H15*H5</f>
        <v>89767.488197956685</v>
      </c>
      <c r="I14" s="2">
        <f>I15*I5</f>
        <v>98102.550834546477</v>
      </c>
      <c r="J14" s="2">
        <f>J15*J5</f>
        <v>107211.53809073429</v>
      </c>
      <c r="K14" s="2">
        <f>K15*K5</f>
        <v>117166.310172368</v>
      </c>
      <c r="L14" s="2">
        <f>L15*L5</f>
        <v>128045.39962657222</v>
      </c>
      <c r="M14" s="2"/>
      <c r="N14" s="29"/>
    </row>
    <row r="15" spans="1:14" s="26" customFormat="1" ht="15.75" customHeight="1" x14ac:dyDescent="0.2">
      <c r="B15" s="45" t="s">
        <v>100</v>
      </c>
      <c r="C15" s="44">
        <f>C14/C5</f>
        <v>3.0890611435902559E-2</v>
      </c>
      <c r="D15" s="44">
        <f>D14/D5</f>
        <v>2.582028956125388E-2</v>
      </c>
      <c r="E15" s="44">
        <f>E14/E5</f>
        <v>2.2859132173877538E-2</v>
      </c>
      <c r="F15" s="44">
        <f>F14/F5</f>
        <v>2.4134519178478208E-2</v>
      </c>
      <c r="G15" s="44">
        <f>G14/G5</f>
        <v>2.4969196721546464E-2</v>
      </c>
      <c r="H15" s="45">
        <f>GEOMEAN($C$15:$G$15)</f>
        <v>2.5596354405015554E-2</v>
      </c>
      <c r="I15" s="45">
        <f t="shared" ref="I15:L15" si="8">GEOMEAN($C$15:$G$15)</f>
        <v>2.5596354405015554E-2</v>
      </c>
      <c r="J15" s="45">
        <f t="shared" si="8"/>
        <v>2.5596354405015554E-2</v>
      </c>
      <c r="K15" s="45">
        <f t="shared" si="8"/>
        <v>2.5596354405015554E-2</v>
      </c>
      <c r="L15" s="45">
        <f t="shared" si="8"/>
        <v>2.5596354405015554E-2</v>
      </c>
    </row>
    <row r="16" spans="1:14" ht="15.75" customHeight="1" x14ac:dyDescent="0.2">
      <c r="B16" s="29" t="s">
        <v>38</v>
      </c>
      <c r="C16" s="18">
        <v>49761</v>
      </c>
      <c r="D16" s="18">
        <v>61345</v>
      </c>
      <c r="E16" s="2">
        <v>56601</v>
      </c>
      <c r="F16" s="2">
        <v>67984</v>
      </c>
      <c r="G16" s="2">
        <v>77649</v>
      </c>
      <c r="H16" s="2">
        <f>H17*H5</f>
        <v>85215.852973083864</v>
      </c>
      <c r="I16" s="2">
        <f>I17*I5</f>
        <v>93128.288604509362</v>
      </c>
      <c r="J16" s="2">
        <f>J17*J5</f>
        <v>101775.40722550987</v>
      </c>
      <c r="K16" s="2">
        <f>K17*K5</f>
        <v>111225.42539042013</v>
      </c>
      <c r="L16" s="2">
        <f>L17*L5</f>
        <v>121552.89367566505</v>
      </c>
      <c r="M16" s="2"/>
      <c r="N16" s="29"/>
    </row>
    <row r="17" spans="2:14" s="26" customFormat="1" ht="15.75" customHeight="1" x14ac:dyDescent="0.2">
      <c r="B17" s="45" t="s">
        <v>100</v>
      </c>
      <c r="C17" s="44">
        <f>C16/C5</f>
        <v>2.7305711366432429E-2</v>
      </c>
      <c r="D17" s="44">
        <f>D16/D5</f>
        <v>2.6803378680685663E-2</v>
      </c>
      <c r="E17" s="44">
        <f>E16/E5</f>
        <v>2.0272150604375198E-2</v>
      </c>
      <c r="F17" s="44">
        <f>F16/F5</f>
        <v>2.3593815993639276E-2</v>
      </c>
      <c r="G17" s="44">
        <f>G16/G5</f>
        <v>2.4196699733318706E-2</v>
      </c>
      <c r="H17" s="45">
        <f>GEOMEAN($C$17:$G$17)</f>
        <v>2.4298498458759397E-2</v>
      </c>
      <c r="I17" s="45">
        <f t="shared" ref="I17:L17" si="9">GEOMEAN($C$17:$G$17)</f>
        <v>2.4298498458759397E-2</v>
      </c>
      <c r="J17" s="45">
        <f t="shared" si="9"/>
        <v>2.4298498458759397E-2</v>
      </c>
      <c r="K17" s="45">
        <f t="shared" si="9"/>
        <v>2.4298498458759397E-2</v>
      </c>
      <c r="L17" s="45">
        <f t="shared" si="9"/>
        <v>2.4298498458759397E-2</v>
      </c>
    </row>
    <row r="18" spans="2:14" ht="15.75" customHeight="1" thickBot="1" x14ac:dyDescent="0.25">
      <c r="B18" s="46" t="s">
        <v>53</v>
      </c>
      <c r="C18" s="47">
        <f>SUM(C8:C16)</f>
        <v>1509918.723668023</v>
      </c>
      <c r="D18" s="47">
        <f>SUM(D8:D16)</f>
        <v>1815758.4238174632</v>
      </c>
      <c r="E18" s="47">
        <f>SUM(E8:E16)</f>
        <v>2164316.9068073411</v>
      </c>
      <c r="F18" s="47">
        <f>SUM(F8:F16)</f>
        <v>2241182.4269612548</v>
      </c>
      <c r="G18" s="47">
        <f>SUM(G8:G16)</f>
        <v>2512332.6789486655</v>
      </c>
      <c r="H18" s="47">
        <f>SUM(H16,H14,H12,H10,H8)</f>
        <v>2638583.6601058999</v>
      </c>
      <c r="I18" s="47">
        <f t="shared" ref="I18:L18" si="10">SUM(I16,I14,I12,I10,I8)</f>
        <v>2851376.017764112</v>
      </c>
      <c r="J18" s="47">
        <f t="shared" si="10"/>
        <v>3085536.7338267285</v>
      </c>
      <c r="K18" s="47">
        <f t="shared" si="10"/>
        <v>3342969.3849406159</v>
      </c>
      <c r="L18" s="47">
        <f t="shared" si="10"/>
        <v>3625758.3236269429</v>
      </c>
      <c r="M18" s="2"/>
      <c r="N18" s="29"/>
    </row>
    <row r="19" spans="2:14" s="26" customFormat="1" ht="15.75" customHeight="1" thickTop="1" x14ac:dyDescent="0.2">
      <c r="B19" s="45" t="s">
        <v>100</v>
      </c>
      <c r="C19" s="44">
        <f>C18/C5</f>
        <v>0.82854855921808412</v>
      </c>
      <c r="D19" s="44">
        <f t="shared" ref="D19:L19" si="11">D18/D5</f>
        <v>0.79335659998735675</v>
      </c>
      <c r="E19" s="44">
        <f t="shared" si="11"/>
        <v>0.77516931309330039</v>
      </c>
      <c r="F19" s="44">
        <f t="shared" si="11"/>
        <v>0.77780133251797101</v>
      </c>
      <c r="G19" s="44">
        <f t="shared" si="11"/>
        <v>0.78288399673820719</v>
      </c>
      <c r="H19" s="44">
        <f t="shared" si="11"/>
        <v>0.75236729741638286</v>
      </c>
      <c r="I19" s="44">
        <f t="shared" si="11"/>
        <v>0.743964662200718</v>
      </c>
      <c r="J19" s="44">
        <f t="shared" si="11"/>
        <v>0.73666037420228714</v>
      </c>
      <c r="K19" s="44">
        <f t="shared" si="11"/>
        <v>0.73031086338875606</v>
      </c>
      <c r="L19" s="44">
        <f t="shared" si="11"/>
        <v>0.72479132642912214</v>
      </c>
    </row>
    <row r="20" spans="2:14" ht="15.75" customHeight="1" x14ac:dyDescent="0.2">
      <c r="B20" s="29"/>
      <c r="C20" s="2"/>
      <c r="D20" s="2"/>
      <c r="E20" s="2"/>
      <c r="F20" s="2"/>
      <c r="G20" s="2"/>
      <c r="H20" s="2"/>
      <c r="I20" s="2"/>
      <c r="J20" s="2"/>
      <c r="K20" s="2"/>
      <c r="L20" s="2"/>
      <c r="M20" s="2"/>
      <c r="N20" s="29"/>
    </row>
    <row r="21" spans="2:14" ht="15.75" customHeight="1" x14ac:dyDescent="0.2">
      <c r="B21" s="29" t="s">
        <v>39</v>
      </c>
      <c r="C21" s="18">
        <v>134655</v>
      </c>
      <c r="D21" s="18">
        <v>141700</v>
      </c>
      <c r="E21" s="2">
        <v>157203</v>
      </c>
      <c r="F21" s="2">
        <v>178845</v>
      </c>
      <c r="G21" s="2">
        <v>210105</v>
      </c>
      <c r="H21" s="2">
        <f>H22*H5</f>
        <v>361216.98103251058</v>
      </c>
      <c r="I21" s="2">
        <f t="shared" ref="I21:L21" si="12">I22*I5</f>
        <v>394756.58677113225</v>
      </c>
      <c r="J21" s="2">
        <f t="shared" si="12"/>
        <v>431410.40145388141</v>
      </c>
      <c r="K21" s="2">
        <f t="shared" si="12"/>
        <v>471467.58463210356</v>
      </c>
      <c r="L21" s="2">
        <f t="shared" si="12"/>
        <v>515244.14480903989</v>
      </c>
      <c r="M21" s="2"/>
      <c r="N21" s="29"/>
    </row>
    <row r="22" spans="2:14" s="26" customFormat="1" ht="15.75" customHeight="1" x14ac:dyDescent="0.2">
      <c r="B22" s="45" t="s">
        <v>183</v>
      </c>
      <c r="C22" s="44">
        <f>C21/BS!C15</f>
        <v>0.11853151377564089</v>
      </c>
      <c r="D22" s="44">
        <f>D21/BS!D15</f>
        <v>0.11066387390722353</v>
      </c>
      <c r="E22" s="44">
        <f>E21/BS!E15</f>
        <v>0.10603054052960301</v>
      </c>
      <c r="F22" s="44">
        <f>F21/BS!F15</f>
        <v>0.10142584279093612</v>
      </c>
      <c r="G22" s="44">
        <f>G21/BS!G15</f>
        <v>8.2170645714498017E-2</v>
      </c>
      <c r="H22" s="45">
        <f>'Inputs &amp; Assumptions'!$B$41</f>
        <v>0.10299762251594757</v>
      </c>
      <c r="I22" s="45">
        <f>'Inputs &amp; Assumptions'!$B$41</f>
        <v>0.10299762251594757</v>
      </c>
      <c r="J22" s="45">
        <f>'Inputs &amp; Assumptions'!$B$41</f>
        <v>0.10299762251594757</v>
      </c>
      <c r="K22" s="45">
        <f>'Inputs &amp; Assumptions'!$B$41</f>
        <v>0.10299762251594757</v>
      </c>
      <c r="L22" s="45">
        <f>'Inputs &amp; Assumptions'!$B$41</f>
        <v>0.10299762251594757</v>
      </c>
    </row>
    <row r="23" spans="2:14" ht="15.75" customHeight="1" x14ac:dyDescent="0.2">
      <c r="B23" s="29" t="s">
        <v>40</v>
      </c>
      <c r="C23" s="18">
        <v>-2528</v>
      </c>
      <c r="D23" s="18">
        <v>-3894</v>
      </c>
      <c r="E23" s="2">
        <v>50</v>
      </c>
      <c r="F23" s="2">
        <v>910</v>
      </c>
      <c r="G23" s="2">
        <v>4477</v>
      </c>
      <c r="H23" s="2">
        <v>0</v>
      </c>
      <c r="I23" s="2">
        <v>0</v>
      </c>
      <c r="J23" s="2">
        <v>0</v>
      </c>
      <c r="K23" s="2">
        <v>0</v>
      </c>
      <c r="L23" s="2">
        <v>0</v>
      </c>
      <c r="M23" s="2"/>
      <c r="N23" s="29"/>
    </row>
    <row r="24" spans="2:14" ht="15.75" customHeight="1" x14ac:dyDescent="0.2">
      <c r="B24" s="29" t="s">
        <v>41</v>
      </c>
      <c r="C24" s="18">
        <v>1642045</v>
      </c>
      <c r="D24" s="18">
        <v>1953563</v>
      </c>
      <c r="E24" s="2">
        <v>2321569</v>
      </c>
      <c r="F24" s="2">
        <v>2420937</v>
      </c>
      <c r="G24" s="2">
        <v>2726914</v>
      </c>
      <c r="H24" s="2">
        <f>H21+H18</f>
        <v>2999800.6411384107</v>
      </c>
      <c r="I24" s="2">
        <f t="shared" ref="I24:L24" si="13">I21+I18</f>
        <v>3246132.6045352444</v>
      </c>
      <c r="J24" s="2">
        <f t="shared" si="13"/>
        <v>3516947.1352806101</v>
      </c>
      <c r="K24" s="2">
        <f t="shared" si="13"/>
        <v>3814436.9695727192</v>
      </c>
      <c r="L24" s="2">
        <f t="shared" si="13"/>
        <v>4141002.4684359827</v>
      </c>
      <c r="M24" s="2"/>
      <c r="N24" s="29"/>
    </row>
    <row r="25" spans="2:14" ht="15.75" customHeight="1" thickBot="1" x14ac:dyDescent="0.25">
      <c r="B25" s="48" t="s">
        <v>131</v>
      </c>
      <c r="C25" s="34">
        <v>180321</v>
      </c>
      <c r="D25" s="34">
        <v>335141</v>
      </c>
      <c r="E25" s="8">
        <v>470488</v>
      </c>
      <c r="F25" s="8">
        <v>460496</v>
      </c>
      <c r="G25" s="8">
        <v>482160</v>
      </c>
      <c r="H25" s="8">
        <f>H5-H24</f>
        <v>507241.29059726372</v>
      </c>
      <c r="I25" s="8">
        <f t="shared" ref="I25:L25" si="14">I5-I24</f>
        <v>586544.08380297758</v>
      </c>
      <c r="J25" s="8">
        <f t="shared" si="14"/>
        <v>671600.04586509289</v>
      </c>
      <c r="K25" s="8">
        <f t="shared" si="14"/>
        <v>763023.87967265211</v>
      </c>
      <c r="L25" s="8">
        <f t="shared" si="14"/>
        <v>861483.33874138584</v>
      </c>
      <c r="M25" s="2"/>
      <c r="N25" s="29"/>
    </row>
    <row r="26" spans="2:14" ht="15.75" customHeight="1" thickTop="1" x14ac:dyDescent="0.2">
      <c r="B26" s="49"/>
      <c r="C26" s="18"/>
      <c r="D26" s="18"/>
      <c r="E26" s="11"/>
      <c r="F26" s="11"/>
      <c r="G26" s="11"/>
      <c r="H26" s="11"/>
      <c r="I26" s="15"/>
      <c r="J26" s="18"/>
      <c r="K26" s="2"/>
      <c r="L26" s="2"/>
      <c r="M26" s="2"/>
      <c r="N26" s="29"/>
    </row>
    <row r="27" spans="2:14" ht="15.75" customHeight="1" x14ac:dyDescent="0.2">
      <c r="B27" s="49" t="s">
        <v>55</v>
      </c>
      <c r="C27" s="18"/>
      <c r="D27" s="18"/>
      <c r="E27" s="2"/>
      <c r="F27" s="2"/>
      <c r="G27" s="2"/>
      <c r="H27" s="11"/>
      <c r="I27" s="15"/>
      <c r="J27" s="18"/>
      <c r="K27" s="2"/>
      <c r="L27" s="2"/>
      <c r="M27" s="2"/>
      <c r="N27" s="29"/>
    </row>
    <row r="28" spans="2:14" ht="15.75" customHeight="1" x14ac:dyDescent="0.2">
      <c r="B28" s="29" t="s">
        <v>42</v>
      </c>
      <c r="C28" s="18">
        <v>5177</v>
      </c>
      <c r="D28" s="18">
        <v>3212</v>
      </c>
      <c r="E28" s="2">
        <v>2611</v>
      </c>
      <c r="F28" s="2">
        <v>2535</v>
      </c>
      <c r="G28" s="2">
        <v>8930</v>
      </c>
      <c r="H28" s="2">
        <f>'Supporting Schedules'!H17</f>
        <v>6601.2006823442061</v>
      </c>
      <c r="I28" s="2">
        <f>'Supporting Schedules'!I17</f>
        <v>6263.1387586366127</v>
      </c>
      <c r="J28" s="2">
        <f>'Supporting Schedules'!J17</f>
        <v>5925.0768349290183</v>
      </c>
      <c r="K28" s="2">
        <f>'Supporting Schedules'!K17</f>
        <v>5587.014911221424</v>
      </c>
      <c r="L28" s="2">
        <f>'Supporting Schedules'!L17</f>
        <v>5248.9529875138296</v>
      </c>
      <c r="M28" s="2"/>
      <c r="N28" s="29"/>
    </row>
    <row r="29" spans="2:14" ht="15.75" customHeight="1" x14ac:dyDescent="0.2">
      <c r="B29" s="29" t="s">
        <v>43</v>
      </c>
      <c r="C29" s="2"/>
      <c r="D29" s="2"/>
      <c r="E29" s="2">
        <v>-217</v>
      </c>
      <c r="F29" s="2">
        <v>-6208</v>
      </c>
      <c r="G29" s="2">
        <v>-1049</v>
      </c>
      <c r="H29" s="2">
        <v>0</v>
      </c>
      <c r="I29" s="2">
        <v>0</v>
      </c>
      <c r="J29" s="2">
        <v>0</v>
      </c>
      <c r="K29" s="2">
        <v>0</v>
      </c>
      <c r="L29" s="2">
        <v>0</v>
      </c>
      <c r="M29" s="2"/>
      <c r="N29" s="29"/>
    </row>
    <row r="30" spans="2:14" ht="15.75" customHeight="1" x14ac:dyDescent="0.2">
      <c r="B30" s="29" t="s">
        <v>44</v>
      </c>
      <c r="C30" s="18">
        <v>-1134</v>
      </c>
      <c r="D30" s="18">
        <v>-844</v>
      </c>
      <c r="E30" s="2">
        <v>46</v>
      </c>
      <c r="F30" s="2">
        <v>-2058</v>
      </c>
      <c r="G30" s="2">
        <v>-1729</v>
      </c>
      <c r="H30" s="2">
        <v>0</v>
      </c>
      <c r="I30" s="2">
        <v>0</v>
      </c>
      <c r="J30" s="2">
        <v>0</v>
      </c>
      <c r="K30" s="2">
        <v>0</v>
      </c>
      <c r="L30" s="2">
        <v>0</v>
      </c>
      <c r="M30" s="2"/>
      <c r="N30" s="29"/>
    </row>
    <row r="31" spans="2:14" ht="15.75" customHeight="1" x14ac:dyDescent="0.2">
      <c r="B31" s="29" t="s">
        <v>45</v>
      </c>
      <c r="C31" s="18">
        <v>4043</v>
      </c>
      <c r="D31" s="18">
        <v>2368</v>
      </c>
      <c r="E31" s="2">
        <v>2440</v>
      </c>
      <c r="F31" s="2">
        <v>-5731</v>
      </c>
      <c r="G31" s="2">
        <v>6152</v>
      </c>
      <c r="H31" s="2">
        <v>0</v>
      </c>
      <c r="I31" s="2">
        <v>0</v>
      </c>
      <c r="J31" s="2">
        <v>0</v>
      </c>
      <c r="K31" s="2">
        <v>0</v>
      </c>
      <c r="L31" s="2">
        <v>0</v>
      </c>
      <c r="M31" s="2"/>
      <c r="N31" s="29"/>
    </row>
    <row r="32" spans="2:14" ht="15.75" customHeight="1" x14ac:dyDescent="0.2">
      <c r="B32" s="60" t="s">
        <v>130</v>
      </c>
      <c r="C32" s="18">
        <v>176278</v>
      </c>
      <c r="D32" s="18">
        <v>332773</v>
      </c>
      <c r="E32" s="2">
        <v>468048</v>
      </c>
      <c r="F32" s="2">
        <v>466227</v>
      </c>
      <c r="G32" s="2">
        <v>476008</v>
      </c>
      <c r="H32" s="2">
        <f>H25-H28</f>
        <v>500640.08991491952</v>
      </c>
      <c r="I32" s="2">
        <f t="shared" ref="I32:L32" si="15">I25-I28</f>
        <v>580280.94504434092</v>
      </c>
      <c r="J32" s="2">
        <f t="shared" si="15"/>
        <v>665674.96903016383</v>
      </c>
      <c r="K32" s="2">
        <f t="shared" si="15"/>
        <v>757436.86476143065</v>
      </c>
      <c r="L32" s="2">
        <f t="shared" si="15"/>
        <v>856234.38575387199</v>
      </c>
      <c r="M32" s="2"/>
      <c r="N32" s="29"/>
    </row>
    <row r="33" spans="1:14" ht="15.75" customHeight="1" x14ac:dyDescent="0.2">
      <c r="B33" s="60" t="s">
        <v>129</v>
      </c>
      <c r="C33" s="61">
        <f>C34/C32</f>
        <v>0.21521687334778022</v>
      </c>
      <c r="D33" s="61">
        <f t="shared" ref="D33:G33" si="16">D34/D32</f>
        <v>0.23901578553548514</v>
      </c>
      <c r="E33" s="61">
        <f t="shared" si="16"/>
        <v>0.23635610022903633</v>
      </c>
      <c r="F33" s="61">
        <f t="shared" si="16"/>
        <v>0.23887505442627732</v>
      </c>
      <c r="G33" s="61">
        <f t="shared" si="16"/>
        <v>0.2393720273608847</v>
      </c>
      <c r="H33" s="62">
        <f>'Inputs &amp; Assumptions'!$B$42</f>
        <v>0.23357307752533318</v>
      </c>
      <c r="I33" s="62">
        <f>'Inputs &amp; Assumptions'!$B$42</f>
        <v>0.23357307752533318</v>
      </c>
      <c r="J33" s="62">
        <f>'Inputs &amp; Assumptions'!$B$42</f>
        <v>0.23357307752533318</v>
      </c>
      <c r="K33" s="62">
        <f>'Inputs &amp; Assumptions'!$B$42</f>
        <v>0.23357307752533318</v>
      </c>
      <c r="L33" s="62">
        <f>'Inputs &amp; Assumptions'!$B$42</f>
        <v>0.23357307752533318</v>
      </c>
      <c r="M33" s="2"/>
      <c r="N33" s="29"/>
    </row>
    <row r="34" spans="1:14" ht="15.75" customHeight="1" x14ac:dyDescent="0.2">
      <c r="B34" s="29" t="s">
        <v>46</v>
      </c>
      <c r="C34" s="18">
        <v>37938</v>
      </c>
      <c r="D34" s="18">
        <v>79538</v>
      </c>
      <c r="E34" s="2">
        <v>110626</v>
      </c>
      <c r="F34" s="2">
        <v>111370</v>
      </c>
      <c r="G34" s="2">
        <v>113943</v>
      </c>
      <c r="H34" s="2">
        <f>H33*H32</f>
        <v>116936.04653398728</v>
      </c>
      <c r="I34" s="2">
        <f t="shared" ref="I34:L34" si="17">I33*I32</f>
        <v>135538.00616331544</v>
      </c>
      <c r="J34" s="2">
        <f t="shared" si="17"/>
        <v>155483.75114795621</v>
      </c>
      <c r="K34" s="2">
        <f t="shared" si="17"/>
        <v>176916.85953346695</v>
      </c>
      <c r="L34" s="2">
        <f t="shared" si="17"/>
        <v>199993.30056354517</v>
      </c>
      <c r="M34" s="2"/>
      <c r="N34" s="29"/>
    </row>
    <row r="35" spans="1:14" ht="15.75" customHeight="1" x14ac:dyDescent="0.2">
      <c r="B35" s="29"/>
      <c r="C35" s="18"/>
      <c r="D35" s="18"/>
      <c r="E35" s="2"/>
      <c r="F35" s="2"/>
      <c r="G35" s="2"/>
      <c r="H35" s="2"/>
      <c r="I35" s="15"/>
      <c r="J35" s="18"/>
      <c r="K35" s="2"/>
      <c r="L35" s="2"/>
      <c r="M35" s="2"/>
      <c r="N35" s="29"/>
    </row>
    <row r="36" spans="1:14" ht="15.75" customHeight="1" thickBot="1" x14ac:dyDescent="0.25">
      <c r="B36" s="48" t="s">
        <v>47</v>
      </c>
      <c r="C36" s="34">
        <v>138340</v>
      </c>
      <c r="D36" s="34">
        <v>253235</v>
      </c>
      <c r="E36" s="8">
        <v>357422</v>
      </c>
      <c r="F36" s="8">
        <v>354857</v>
      </c>
      <c r="G36" s="8">
        <v>362065</v>
      </c>
      <c r="H36" s="8">
        <f>H32-H34</f>
        <v>383704.04338093224</v>
      </c>
      <c r="I36" s="8">
        <f t="shared" ref="I36:L36" si="18">I32-I34</f>
        <v>444742.93888102547</v>
      </c>
      <c r="J36" s="8">
        <f t="shared" si="18"/>
        <v>510191.21788220759</v>
      </c>
      <c r="K36" s="8">
        <f t="shared" si="18"/>
        <v>580520.00522796367</v>
      </c>
      <c r="L36" s="8">
        <f t="shared" si="18"/>
        <v>656241.08519032679</v>
      </c>
      <c r="M36" s="2"/>
      <c r="N36" s="29"/>
    </row>
    <row r="37" spans="1:14" ht="15.75" customHeight="1" thickTop="1" x14ac:dyDescent="0.2">
      <c r="B37" s="29"/>
      <c r="C37" s="96"/>
      <c r="D37" s="96"/>
      <c r="E37" s="96"/>
      <c r="F37" s="96"/>
      <c r="G37" s="96"/>
      <c r="H37" s="96"/>
      <c r="I37" s="96"/>
      <c r="J37" s="96"/>
      <c r="K37" s="96"/>
      <c r="L37" s="96"/>
      <c r="M37" s="29"/>
      <c r="N37" s="29"/>
    </row>
    <row r="38" spans="1:14" ht="15.75" customHeight="1" x14ac:dyDescent="0.2">
      <c r="B38" s="60" t="s">
        <v>127</v>
      </c>
      <c r="C38" s="18">
        <f t="shared" ref="C38:L38" si="19">C25+C21</f>
        <v>314976</v>
      </c>
      <c r="D38" s="18">
        <f t="shared" si="19"/>
        <v>476841</v>
      </c>
      <c r="E38" s="18">
        <f t="shared" si="19"/>
        <v>627691</v>
      </c>
      <c r="F38" s="18">
        <f t="shared" si="19"/>
        <v>639341</v>
      </c>
      <c r="G38" s="18">
        <f t="shared" si="19"/>
        <v>692265</v>
      </c>
      <c r="H38" s="18">
        <f t="shared" si="19"/>
        <v>868458.27162977424</v>
      </c>
      <c r="I38" s="18">
        <f t="shared" si="19"/>
        <v>981300.67057410977</v>
      </c>
      <c r="J38" s="18">
        <f t="shared" si="19"/>
        <v>1103010.4473189744</v>
      </c>
      <c r="K38" s="18">
        <f t="shared" si="19"/>
        <v>1234491.4643047557</v>
      </c>
      <c r="L38" s="18">
        <f t="shared" si="19"/>
        <v>1376727.4835504256</v>
      </c>
      <c r="M38" s="2"/>
      <c r="N38" s="29"/>
    </row>
    <row r="39" spans="1:14" ht="15.75" customHeight="1" x14ac:dyDescent="0.2">
      <c r="B39" s="26" t="s">
        <v>184</v>
      </c>
      <c r="C39" s="26"/>
      <c r="D39" s="26">
        <f>D38/C38-1</f>
        <v>0.51389629686071325</v>
      </c>
      <c r="E39" s="26">
        <f t="shared" ref="E39:L39" si="20">E38/D38-1</f>
        <v>0.31635283039839268</v>
      </c>
      <c r="F39" s="26">
        <f t="shared" si="20"/>
        <v>1.8560087686457116E-2</v>
      </c>
      <c r="G39" s="26">
        <f t="shared" si="20"/>
        <v>8.277898648764892E-2</v>
      </c>
      <c r="H39" s="26">
        <f t="shared" si="20"/>
        <v>0.25451708757451885</v>
      </c>
      <c r="I39" s="26">
        <f t="shared" si="20"/>
        <v>0.12993416336811681</v>
      </c>
      <c r="J39" s="26">
        <f t="shared" si="20"/>
        <v>0.12402903655783537</v>
      </c>
      <c r="K39" s="26">
        <f t="shared" si="20"/>
        <v>0.11920196885293777</v>
      </c>
      <c r="L39" s="26">
        <f t="shared" si="20"/>
        <v>0.11521830920538179</v>
      </c>
    </row>
    <row r="40" spans="1:14" ht="15.75" customHeight="1" x14ac:dyDescent="0.2">
      <c r="B40" s="20" t="s">
        <v>48</v>
      </c>
      <c r="C40" s="18">
        <v>26140</v>
      </c>
      <c r="D40" s="18">
        <v>26322</v>
      </c>
      <c r="E40" s="4">
        <v>26520</v>
      </c>
      <c r="F40" s="4">
        <v>26632</v>
      </c>
      <c r="G40" s="2">
        <v>26689</v>
      </c>
      <c r="H40" s="2"/>
      <c r="I40" s="2"/>
      <c r="J40" s="2"/>
      <c r="K40" s="2"/>
      <c r="L40" s="2"/>
    </row>
    <row r="41" spans="1:14" ht="15.75" customHeight="1" x14ac:dyDescent="0.2">
      <c r="B41" s="20" t="s">
        <v>50</v>
      </c>
      <c r="C41" s="152">
        <v>5.29</v>
      </c>
      <c r="D41" s="152">
        <v>9.6199999999999992</v>
      </c>
      <c r="E41" s="122">
        <v>13.48</v>
      </c>
      <c r="F41" s="122">
        <v>13.32</v>
      </c>
      <c r="G41" s="122">
        <v>13.57</v>
      </c>
      <c r="H41" s="2"/>
      <c r="I41" s="2"/>
      <c r="J41" s="2"/>
      <c r="K41" s="2"/>
      <c r="L41" s="2"/>
    </row>
    <row r="42" spans="1:14" ht="15.75" customHeight="1" x14ac:dyDescent="0.2">
      <c r="B42" s="20" t="s">
        <v>49</v>
      </c>
      <c r="C42" s="18">
        <v>26592</v>
      </c>
      <c r="D42" s="18">
        <v>26707</v>
      </c>
      <c r="E42" s="4">
        <v>26674</v>
      </c>
      <c r="F42" s="4">
        <v>26763</v>
      </c>
      <c r="G42" s="2">
        <v>26802</v>
      </c>
      <c r="H42" s="2">
        <f>G42*(1+H43)</f>
        <v>26854.818674415194</v>
      </c>
      <c r="I42" s="2">
        <f t="shared" ref="I42:L42" si="21">H42*(1+I43)</f>
        <v>26907.741438538877</v>
      </c>
      <c r="J42" s="2">
        <f t="shared" si="21"/>
        <v>26960.768497500536</v>
      </c>
      <c r="K42" s="2">
        <f t="shared" si="21"/>
        <v>27013.900056833903</v>
      </c>
      <c r="L42" s="2">
        <f t="shared" si="21"/>
        <v>27067.136322477752</v>
      </c>
    </row>
    <row r="43" spans="1:14" s="26" customFormat="1" ht="15.75" customHeight="1" x14ac:dyDescent="0.2">
      <c r="B43" s="125" t="s">
        <v>184</v>
      </c>
      <c r="C43" s="44"/>
      <c r="D43" s="44">
        <f>D42/C42-1</f>
        <v>4.3246089049338021E-3</v>
      </c>
      <c r="E43" s="44">
        <f t="shared" ref="E43:G43" si="22">E42/D42-1</f>
        <v>-1.2356311079492199E-3</v>
      </c>
      <c r="F43" s="44">
        <f t="shared" si="22"/>
        <v>3.3365824398290389E-3</v>
      </c>
      <c r="G43" s="44">
        <f t="shared" si="22"/>
        <v>1.4572357359039501E-3</v>
      </c>
      <c r="H43" s="45">
        <f>'Inputs &amp; Assumptions'!$B$40</f>
        <v>1.9706989931793928E-3</v>
      </c>
      <c r="I43" s="45">
        <f>'Inputs &amp; Assumptions'!$B$40</f>
        <v>1.9706989931793928E-3</v>
      </c>
      <c r="J43" s="45">
        <f>'Inputs &amp; Assumptions'!$B$40</f>
        <v>1.9706989931793928E-3</v>
      </c>
      <c r="K43" s="45">
        <f>'Inputs &amp; Assumptions'!$B$40</f>
        <v>1.9706989931793928E-3</v>
      </c>
      <c r="L43" s="45">
        <f>'Inputs &amp; Assumptions'!$B$40</f>
        <v>1.9706989931793928E-3</v>
      </c>
    </row>
    <row r="44" spans="1:14" s="121" customFormat="1" ht="15.75" customHeight="1" thickBot="1" x14ac:dyDescent="0.25">
      <c r="A44"/>
      <c r="B44" s="126" t="s">
        <v>51</v>
      </c>
      <c r="C44" s="153">
        <v>5.2</v>
      </c>
      <c r="D44" s="153">
        <v>9.48</v>
      </c>
      <c r="E44" s="127">
        <v>13.4</v>
      </c>
      <c r="F44" s="127">
        <v>13.26</v>
      </c>
      <c r="G44" s="127">
        <v>13.51</v>
      </c>
      <c r="H44" s="127">
        <f>H36/H42</f>
        <v>14.288089152003481</v>
      </c>
      <c r="I44" s="127">
        <f>I36/I42</f>
        <v>16.528438103840184</v>
      </c>
      <c r="J44" s="127">
        <f>J36/J42</f>
        <v>18.923467182677161</v>
      </c>
      <c r="K44" s="127">
        <f>K36/K42</f>
        <v>21.489677684696449</v>
      </c>
      <c r="L44" s="127">
        <f>L36/L42</f>
        <v>24.244939596559945</v>
      </c>
    </row>
    <row r="45" spans="1:14" s="121" customFormat="1" ht="15.75" customHeight="1" thickTop="1" x14ac:dyDescent="0.2">
      <c r="A45"/>
      <c r="B45" s="125" t="s">
        <v>184</v>
      </c>
      <c r="C45" s="44"/>
      <c r="D45" s="44">
        <f>D44/C44-1</f>
        <v>0.82307692307692304</v>
      </c>
      <c r="E45" s="44">
        <f t="shared" ref="E45:L45" si="23">E44/D44-1</f>
        <v>0.41350210970464141</v>
      </c>
      <c r="F45" s="44">
        <f t="shared" si="23"/>
        <v>-1.0447761194029903E-2</v>
      </c>
      <c r="G45" s="44">
        <f t="shared" si="23"/>
        <v>1.8853695324283493E-2</v>
      </c>
      <c r="H45" s="44">
        <f t="shared" si="23"/>
        <v>5.7593571576867619E-2</v>
      </c>
      <c r="I45" s="44">
        <f t="shared" si="23"/>
        <v>0.15679836036875239</v>
      </c>
      <c r="J45" s="44">
        <f t="shared" si="23"/>
        <v>0.14490353315843674</v>
      </c>
      <c r="K45" s="44">
        <f t="shared" si="23"/>
        <v>0.13560995335825332</v>
      </c>
      <c r="L45" s="44">
        <f t="shared" si="23"/>
        <v>0.12821327300900442</v>
      </c>
    </row>
    <row r="46" spans="1:14" s="121" customFormat="1" ht="15.75" customHeight="1" x14ac:dyDescent="0.2">
      <c r="A46"/>
      <c r="B46" s="125"/>
      <c r="C46" s="44"/>
      <c r="D46" s="44"/>
      <c r="E46" s="44"/>
      <c r="F46" s="44"/>
      <c r="G46" s="44"/>
      <c r="H46" s="44"/>
      <c r="I46" s="44"/>
      <c r="J46" s="44"/>
      <c r="K46" s="44"/>
      <c r="L46" s="44"/>
    </row>
    <row r="47" spans="1:14" ht="15.75" customHeight="1" x14ac:dyDescent="0.2">
      <c r="B47" t="s">
        <v>206</v>
      </c>
      <c r="C47" s="3">
        <v>34.18</v>
      </c>
      <c r="D47" s="3">
        <v>35.03</v>
      </c>
      <c r="E47" s="3">
        <v>15.55</v>
      </c>
      <c r="F47" s="3">
        <v>32.9</v>
      </c>
      <c r="G47" s="3">
        <v>33.58</v>
      </c>
    </row>
    <row r="48" spans="1:14" ht="15.75" customHeight="1" x14ac:dyDescent="0.2">
      <c r="B48" t="s">
        <v>205</v>
      </c>
      <c r="D48"/>
      <c r="E48"/>
      <c r="F48"/>
      <c r="G48" s="29"/>
      <c r="H48" s="29">
        <f ca="1">DCF!$C$24/H44</f>
        <v>20.172746469711402</v>
      </c>
      <c r="I48" s="29">
        <f ca="1">DCF!$C$24/I44</f>
        <v>17.43842934155002</v>
      </c>
      <c r="J48" s="29">
        <f ca="1">DCF!$C$24/J44</f>
        <v>15.23135254325118</v>
      </c>
      <c r="K48" s="29">
        <f ca="1">DCF!$C$24/K44</f>
        <v>13.412485949254542</v>
      </c>
      <c r="L48" s="29">
        <f ca="1">DCF!$C$24/L44</f>
        <v>11.888253994284906</v>
      </c>
    </row>
    <row r="49" spans="2:12" ht="15.75" customHeight="1" x14ac:dyDescent="0.2">
      <c r="B49" t="s">
        <v>237</v>
      </c>
      <c r="C49" s="3"/>
      <c r="D49" s="3">
        <f t="shared" ref="D49:L49" si="24">(D48+D47)/(D45*100)</f>
        <v>0.42559813084112152</v>
      </c>
      <c r="E49" s="3">
        <f t="shared" si="24"/>
        <v>0.37605612244897957</v>
      </c>
      <c r="F49" s="3">
        <f t="shared" si="24"/>
        <v>-31.489999999999842</v>
      </c>
      <c r="G49" s="3">
        <f t="shared" si="24"/>
        <v>17.810832000000062</v>
      </c>
      <c r="H49" s="3">
        <f t="shared" ca="1" si="24"/>
        <v>3.5026038353582085</v>
      </c>
      <c r="I49" s="3">
        <f t="shared" ca="1" si="24"/>
        <v>1.1121563580473028</v>
      </c>
      <c r="J49" s="3">
        <f t="shared" ca="1" si="24"/>
        <v>1.0511374161316895</v>
      </c>
      <c r="K49" s="3">
        <f t="shared" ca="1" si="24"/>
        <v>0.98904878418633035</v>
      </c>
      <c r="L49" s="3">
        <f t="shared" ca="1" si="24"/>
        <v>0.92722490544719138</v>
      </c>
    </row>
    <row r="50" spans="2:12" ht="15.75" customHeight="1" x14ac:dyDescent="0.2">
      <c r="D50"/>
      <c r="E50"/>
      <c r="F50"/>
      <c r="G50"/>
    </row>
    <row r="51" spans="2:12" ht="15.75" customHeight="1" x14ac:dyDescent="0.2">
      <c r="D51" s="96"/>
      <c r="E51"/>
      <c r="F51"/>
      <c r="G51"/>
    </row>
    <row r="52" spans="2:12" ht="15.75" customHeight="1" x14ac:dyDescent="0.2">
      <c r="C52" s="2"/>
    </row>
    <row r="54" spans="2:12" ht="15.75" customHeight="1" x14ac:dyDescent="0.2">
      <c r="G54" s="5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A061A-6BCD-4734-9293-71DEADD37FEE}">
  <sheetPr>
    <tabColor rgb="FFFF0000"/>
    <outlinePr summaryBelow="0" summaryRight="0"/>
  </sheetPr>
  <dimension ref="A3:L51"/>
  <sheetViews>
    <sheetView showGridLines="0" topLeftCell="B1" zoomScale="92" zoomScaleNormal="81" workbookViewId="0">
      <selection activeCell="I21" sqref="I21"/>
    </sheetView>
  </sheetViews>
  <sheetFormatPr defaultColWidth="12.5703125" defaultRowHeight="15.75" customHeight="1" x14ac:dyDescent="0.2"/>
  <cols>
    <col min="1" max="1" width="3.85546875" customWidth="1"/>
    <col min="2" max="2" width="50" customWidth="1"/>
    <col min="4" max="7" width="12.5703125" style="4"/>
    <col min="8" max="8" width="12" customWidth="1"/>
    <col min="9" max="9" width="11.85546875" customWidth="1"/>
  </cols>
  <sheetData>
    <row r="3" spans="2:12" ht="15.75" customHeight="1" x14ac:dyDescent="0.2">
      <c r="B3" s="54" t="s">
        <v>52</v>
      </c>
      <c r="C3" s="55">
        <v>2020</v>
      </c>
      <c r="D3" s="56">
        <v>2021</v>
      </c>
      <c r="E3" s="56">
        <v>2022</v>
      </c>
      <c r="F3" s="56">
        <v>2023</v>
      </c>
      <c r="G3" s="56">
        <v>2024</v>
      </c>
      <c r="H3" s="57">
        <v>2025</v>
      </c>
      <c r="I3" s="57">
        <v>2026</v>
      </c>
      <c r="J3" s="57">
        <v>2027</v>
      </c>
      <c r="K3" s="57">
        <v>2028</v>
      </c>
      <c r="L3" s="57">
        <v>2029</v>
      </c>
    </row>
    <row r="4" spans="2:12" ht="15.75" customHeight="1" x14ac:dyDescent="0.2">
      <c r="B4" s="12"/>
      <c r="C4" s="33"/>
      <c r="D4" s="33"/>
      <c r="E4" s="33"/>
      <c r="F4" s="33"/>
      <c r="G4" s="33"/>
      <c r="H4" s="2"/>
      <c r="I4" s="15"/>
      <c r="J4" s="18"/>
      <c r="K4" s="18"/>
      <c r="L4" s="18"/>
    </row>
    <row r="5" spans="2:12" ht="15.75" customHeight="1" x14ac:dyDescent="0.2">
      <c r="B5" s="5" t="s">
        <v>79</v>
      </c>
      <c r="C5" s="15"/>
      <c r="D5" s="18"/>
      <c r="E5" s="2"/>
      <c r="F5" s="2"/>
      <c r="G5" s="2"/>
      <c r="H5" s="2"/>
      <c r="I5" s="2"/>
      <c r="J5" s="2"/>
      <c r="K5" s="2"/>
      <c r="L5" s="2"/>
    </row>
    <row r="6" spans="2:12" ht="15.75" customHeight="1" x14ac:dyDescent="0.2">
      <c r="B6" t="s">
        <v>57</v>
      </c>
      <c r="C6" s="2">
        <v>138340</v>
      </c>
      <c r="D6" s="2">
        <v>253235</v>
      </c>
      <c r="E6" s="2">
        <v>357422</v>
      </c>
      <c r="F6" s="18">
        <v>354857</v>
      </c>
      <c r="G6" s="16">
        <v>362065</v>
      </c>
      <c r="H6" s="2">
        <f>IS!H36</f>
        <v>383704.04338093224</v>
      </c>
      <c r="I6" s="2">
        <f>IS!I36</f>
        <v>444742.93888102547</v>
      </c>
      <c r="J6" s="2">
        <f>IS!J36</f>
        <v>510191.21788220759</v>
      </c>
      <c r="K6" s="2">
        <f>IS!K36</f>
        <v>580520.00522796367</v>
      </c>
      <c r="L6" s="2">
        <f>IS!L36</f>
        <v>656241.08519032679</v>
      </c>
    </row>
    <row r="7" spans="2:12" ht="15.75" customHeight="1" x14ac:dyDescent="0.2">
      <c r="C7" s="2"/>
      <c r="D7" s="2"/>
      <c r="E7" s="2"/>
      <c r="F7" s="18"/>
      <c r="G7" s="16"/>
      <c r="H7" s="2"/>
      <c r="I7" s="2"/>
      <c r="J7" s="2"/>
      <c r="K7" s="2"/>
      <c r="L7" s="2"/>
    </row>
    <row r="8" spans="2:12" ht="15.75" customHeight="1" x14ac:dyDescent="0.2">
      <c r="B8" s="1" t="s">
        <v>80</v>
      </c>
      <c r="C8" s="2"/>
      <c r="D8" s="2"/>
      <c r="E8" s="2"/>
      <c r="F8" s="18"/>
      <c r="G8" s="16"/>
      <c r="H8" s="2"/>
      <c r="I8" s="2"/>
      <c r="J8" s="2"/>
      <c r="K8" s="2"/>
      <c r="L8" s="2"/>
    </row>
    <row r="9" spans="2:12" ht="15.75" customHeight="1" x14ac:dyDescent="0.2">
      <c r="B9" t="s">
        <v>39</v>
      </c>
      <c r="C9" s="2">
        <v>134655</v>
      </c>
      <c r="D9" s="2">
        <v>141700</v>
      </c>
      <c r="E9" s="2">
        <v>157203</v>
      </c>
      <c r="F9" s="18">
        <v>178845</v>
      </c>
      <c r="G9" s="16">
        <v>210105</v>
      </c>
      <c r="H9" s="2">
        <f>IS!H21</f>
        <v>361216.98103251058</v>
      </c>
      <c r="I9" s="2">
        <f>IS!I21</f>
        <v>394756.58677113225</v>
      </c>
      <c r="J9" s="2">
        <f>IS!J21</f>
        <v>431410.40145388141</v>
      </c>
      <c r="K9" s="2">
        <f>IS!K21</f>
        <v>471467.58463210356</v>
      </c>
      <c r="L9" s="2">
        <f>IS!L21</f>
        <v>515244.14480903989</v>
      </c>
    </row>
    <row r="10" spans="2:12" ht="15.75" customHeight="1" x14ac:dyDescent="0.2">
      <c r="B10" t="s">
        <v>58</v>
      </c>
      <c r="C10" s="2">
        <v>4271</v>
      </c>
      <c r="D10" s="2">
        <v>3559</v>
      </c>
      <c r="E10" s="2">
        <v>3074</v>
      </c>
      <c r="F10" s="18">
        <v>1955</v>
      </c>
      <c r="G10" s="16">
        <v>3412</v>
      </c>
      <c r="H10" s="2">
        <v>3000</v>
      </c>
      <c r="I10" s="2">
        <v>3000</v>
      </c>
      <c r="J10" s="2">
        <v>3000</v>
      </c>
      <c r="K10" s="2">
        <v>3000</v>
      </c>
      <c r="L10" s="2">
        <v>3000</v>
      </c>
    </row>
    <row r="11" spans="2:12" ht="15.75" customHeight="1" x14ac:dyDescent="0.2">
      <c r="B11" t="s">
        <v>22</v>
      </c>
      <c r="C11" s="2">
        <v>8263</v>
      </c>
      <c r="D11" s="2">
        <v>4319</v>
      </c>
      <c r="E11" s="2">
        <v>21634</v>
      </c>
      <c r="F11" s="18">
        <v>10070</v>
      </c>
      <c r="G11" s="16">
        <v>63221</v>
      </c>
      <c r="H11" s="2">
        <v>10000</v>
      </c>
      <c r="I11" s="2">
        <v>10000</v>
      </c>
      <c r="J11" s="2">
        <v>10000</v>
      </c>
      <c r="K11" s="2">
        <v>10000</v>
      </c>
      <c r="L11" s="2">
        <v>10000</v>
      </c>
    </row>
    <row r="12" spans="2:12" ht="15.75" customHeight="1" x14ac:dyDescent="0.2">
      <c r="B12" t="s">
        <v>59</v>
      </c>
      <c r="C12" s="2">
        <v>-2528</v>
      </c>
      <c r="D12" s="2">
        <v>-3894</v>
      </c>
      <c r="E12" s="2">
        <v>50</v>
      </c>
      <c r="F12" s="18">
        <v>910</v>
      </c>
      <c r="G12" s="16">
        <v>4477</v>
      </c>
      <c r="H12" s="2">
        <v>0</v>
      </c>
      <c r="I12" s="2">
        <v>0</v>
      </c>
      <c r="J12" s="2">
        <v>0</v>
      </c>
      <c r="K12" s="2">
        <v>0</v>
      </c>
      <c r="L12" s="2">
        <v>0</v>
      </c>
    </row>
    <row r="13" spans="2:12" ht="15.75" customHeight="1" x14ac:dyDescent="0.2">
      <c r="B13" t="s">
        <v>60</v>
      </c>
      <c r="C13" s="2">
        <v>7536</v>
      </c>
      <c r="D13" s="2">
        <v>8703</v>
      </c>
      <c r="E13" s="2">
        <v>8827</v>
      </c>
      <c r="F13" s="18">
        <v>11636</v>
      </c>
      <c r="G13" s="16">
        <v>14243</v>
      </c>
      <c r="H13" s="2">
        <v>15000</v>
      </c>
      <c r="I13" s="2">
        <v>15000</v>
      </c>
      <c r="J13" s="2">
        <v>15000</v>
      </c>
      <c r="K13" s="2">
        <v>15000</v>
      </c>
      <c r="L13" s="2">
        <v>15000</v>
      </c>
    </row>
    <row r="14" spans="2:12" ht="15.75" customHeight="1" x14ac:dyDescent="0.2">
      <c r="C14" s="2"/>
      <c r="D14" s="2"/>
      <c r="E14" s="2"/>
      <c r="F14" s="18"/>
      <c r="G14" s="16"/>
      <c r="H14" s="2"/>
      <c r="I14" s="2"/>
      <c r="J14" s="2"/>
      <c r="K14" s="2"/>
      <c r="L14" s="2"/>
    </row>
    <row r="15" spans="2:12" ht="15.75" customHeight="1" x14ac:dyDescent="0.2">
      <c r="B15" s="1" t="s">
        <v>81</v>
      </c>
      <c r="C15" s="2"/>
      <c r="D15" s="2"/>
      <c r="E15" s="2"/>
      <c r="F15" s="2"/>
      <c r="G15" s="17"/>
      <c r="H15" s="2"/>
      <c r="I15" s="2"/>
      <c r="J15" s="2"/>
      <c r="K15" s="2"/>
      <c r="L15" s="2"/>
    </row>
    <row r="16" spans="2:12" ht="15.75" customHeight="1" x14ac:dyDescent="0.2">
      <c r="B16" t="s">
        <v>61</v>
      </c>
      <c r="C16" s="2">
        <v>-25051</v>
      </c>
      <c r="D16" s="2">
        <v>-63415</v>
      </c>
      <c r="E16" s="2">
        <v>-16624</v>
      </c>
      <c r="F16" s="2">
        <v>-23391</v>
      </c>
      <c r="G16" s="17">
        <v>-14661</v>
      </c>
      <c r="H16" s="2">
        <f>BS!G7-BS!H7</f>
        <v>-64717.793255316385</v>
      </c>
      <c r="I16" s="2">
        <f>BS!H7-BS!I7</f>
        <v>-35999.415171485918</v>
      </c>
      <c r="J16" s="2">
        <f>BS!I7-BS!J7</f>
        <v>-39342.021568951779</v>
      </c>
      <c r="K16" s="2">
        <f>BS!J7-BS!K7</f>
        <v>-42994.994606407708</v>
      </c>
      <c r="L16" s="2">
        <f>BS!K7-BS!L7</f>
        <v>-46987.152349687414</v>
      </c>
    </row>
    <row r="17" spans="2:12" ht="15.75" customHeight="1" x14ac:dyDescent="0.2">
      <c r="B17" t="s">
        <v>13</v>
      </c>
      <c r="C17" s="2">
        <v>5772</v>
      </c>
      <c r="D17" s="2">
        <v>16729</v>
      </c>
      <c r="E17" s="2">
        <v>-9523</v>
      </c>
      <c r="F17" s="18">
        <v>10752</v>
      </c>
      <c r="G17" s="16">
        <v>-816</v>
      </c>
      <c r="H17" s="2">
        <f>BS!H22-BS!G22</f>
        <v>39426.781163274136</v>
      </c>
      <c r="I17" s="2">
        <f>BS!I22-BS!H22</f>
        <v>14297.93226888965</v>
      </c>
      <c r="J17" s="2">
        <f>BS!J22-BS!I22</f>
        <v>15625.519387870881</v>
      </c>
      <c r="K17" s="2">
        <f>BS!K22-BS!J22</f>
        <v>17076.375209300953</v>
      </c>
      <c r="L17" s="2">
        <f>BS!L22-BS!K22</f>
        <v>18661.945440045849</v>
      </c>
    </row>
    <row r="18" spans="2:12" ht="15.75" customHeight="1" x14ac:dyDescent="0.2">
      <c r="B18" t="s">
        <v>62</v>
      </c>
      <c r="C18" s="2">
        <v>37887</v>
      </c>
      <c r="D18" s="2">
        <v>-21656</v>
      </c>
      <c r="E18" s="2">
        <v>-49037</v>
      </c>
      <c r="F18" s="18">
        <v>32311</v>
      </c>
      <c r="G18" s="16">
        <v>-58344</v>
      </c>
      <c r="H18" s="2">
        <v>0</v>
      </c>
      <c r="I18" s="2">
        <v>0</v>
      </c>
      <c r="J18" s="2">
        <v>0</v>
      </c>
      <c r="K18" s="2">
        <v>0</v>
      </c>
      <c r="L18" s="2">
        <v>0</v>
      </c>
    </row>
    <row r="19" spans="2:12" ht="15.75" customHeight="1" thickBot="1" x14ac:dyDescent="0.25">
      <c r="B19" s="7" t="s">
        <v>63</v>
      </c>
      <c r="C19" s="8">
        <v>309145</v>
      </c>
      <c r="D19" s="8">
        <v>382592</v>
      </c>
      <c r="E19" s="8">
        <v>473026</v>
      </c>
      <c r="F19" s="34">
        <v>577945</v>
      </c>
      <c r="G19" s="35">
        <v>583702</v>
      </c>
      <c r="H19" s="8">
        <f>SUM(H6:H18)</f>
        <v>747630.01232140046</v>
      </c>
      <c r="I19" s="8">
        <f t="shared" ref="I19:L19" si="0">SUM(I6:I18)</f>
        <v>845798.04274956137</v>
      </c>
      <c r="J19" s="8">
        <f t="shared" si="0"/>
        <v>945885.11715500813</v>
      </c>
      <c r="K19" s="8">
        <f t="shared" si="0"/>
        <v>1054068.9704629604</v>
      </c>
      <c r="L19" s="8">
        <f t="shared" si="0"/>
        <v>1171160.0230897251</v>
      </c>
    </row>
    <row r="20" spans="2:12" ht="15.75" customHeight="1" thickTop="1" x14ac:dyDescent="0.2">
      <c r="B20" s="5"/>
      <c r="C20" s="11"/>
      <c r="D20" s="11"/>
      <c r="E20" s="11"/>
      <c r="F20" s="36"/>
      <c r="G20" s="175"/>
      <c r="H20" s="192"/>
      <c r="I20" s="192"/>
      <c r="J20" s="175"/>
      <c r="K20" s="175"/>
      <c r="L20" s="175"/>
    </row>
    <row r="21" spans="2:12" ht="15.75" customHeight="1" x14ac:dyDescent="0.2">
      <c r="B21" s="5" t="s">
        <v>82</v>
      </c>
      <c r="C21" s="2"/>
      <c r="D21" s="2"/>
      <c r="E21" s="2"/>
      <c r="F21" s="18"/>
      <c r="G21" s="16"/>
      <c r="H21" s="2"/>
      <c r="I21" s="2"/>
      <c r="J21" s="2"/>
      <c r="K21" s="2"/>
      <c r="L21" s="2"/>
    </row>
    <row r="22" spans="2:12" ht="15.75" customHeight="1" x14ac:dyDescent="0.2">
      <c r="B22" s="1" t="s">
        <v>64</v>
      </c>
      <c r="C22" s="2">
        <v>-231142</v>
      </c>
      <c r="D22" s="2">
        <v>-285746</v>
      </c>
      <c r="E22" s="2">
        <v>-367429</v>
      </c>
      <c r="F22" s="18">
        <v>-439879</v>
      </c>
      <c r="G22" s="16">
        <v>-1043557</v>
      </c>
      <c r="H22" s="2">
        <f>-'Supporting Schedules'!H5</f>
        <v>-600000</v>
      </c>
      <c r="I22" s="2">
        <f>-'Supporting Schedules'!I5</f>
        <v>-511863.42356324074</v>
      </c>
      <c r="J22" s="2">
        <f>-'Supporting Schedules'!J5</f>
        <v>-559390.80549655866</v>
      </c>
      <c r="K22" s="2">
        <f>-'Supporting Schedules'!K5</f>
        <v>-611331.18497854099</v>
      </c>
      <c r="L22" s="2">
        <f>-'Supporting Schedules'!L5</f>
        <v>-668094.31627235794</v>
      </c>
    </row>
    <row r="23" spans="2:12" ht="15.75" customHeight="1" x14ac:dyDescent="0.2">
      <c r="B23" s="1" t="s">
        <v>65</v>
      </c>
      <c r="C23" s="2">
        <v>12325</v>
      </c>
      <c r="D23" s="2">
        <v>8398</v>
      </c>
      <c r="E23" s="2">
        <v>1917</v>
      </c>
      <c r="F23" s="18">
        <v>2727</v>
      </c>
      <c r="G23" s="16">
        <v>2694</v>
      </c>
      <c r="H23" s="2">
        <v>2500</v>
      </c>
      <c r="I23" s="2">
        <v>2500</v>
      </c>
      <c r="J23" s="2">
        <v>2500</v>
      </c>
      <c r="K23" s="2">
        <v>2500</v>
      </c>
      <c r="L23" s="2">
        <v>2500</v>
      </c>
    </row>
    <row r="24" spans="2:12" ht="15.75" customHeight="1" x14ac:dyDescent="0.2">
      <c r="B24" t="s">
        <v>66</v>
      </c>
      <c r="C24" s="2">
        <v>0</v>
      </c>
      <c r="D24" s="2">
        <v>-500</v>
      </c>
      <c r="E24" s="2">
        <v>0</v>
      </c>
      <c r="F24" s="18">
        <v>-11544</v>
      </c>
      <c r="G24" s="16">
        <v>4999</v>
      </c>
      <c r="H24" s="2">
        <v>0</v>
      </c>
      <c r="I24" s="2">
        <v>0</v>
      </c>
      <c r="J24" s="2">
        <v>0</v>
      </c>
      <c r="K24" s="2">
        <v>0</v>
      </c>
      <c r="L24" s="2">
        <v>0</v>
      </c>
    </row>
    <row r="25" spans="2:12" ht="15.75" customHeight="1" thickBot="1" x14ac:dyDescent="0.25">
      <c r="B25" s="7" t="s">
        <v>67</v>
      </c>
      <c r="C25" s="8">
        <v>-218817</v>
      </c>
      <c r="D25" s="8">
        <v>-277848</v>
      </c>
      <c r="E25" s="8">
        <v>-365512</v>
      </c>
      <c r="F25" s="8">
        <v>-448696</v>
      </c>
      <c r="G25" s="38">
        <v>-1035864</v>
      </c>
      <c r="H25" s="8">
        <f>H22-H23-H24</f>
        <v>-602500</v>
      </c>
      <c r="I25" s="8">
        <f t="shared" ref="I25:L25" si="1">I22-I23-I24</f>
        <v>-514363.42356324074</v>
      </c>
      <c r="J25" s="8">
        <f t="shared" si="1"/>
        <v>-561890.80549655866</v>
      </c>
      <c r="K25" s="8">
        <f t="shared" si="1"/>
        <v>-613831.18497854099</v>
      </c>
      <c r="L25" s="8">
        <f t="shared" si="1"/>
        <v>-670594.31627235794</v>
      </c>
    </row>
    <row r="26" spans="2:12" ht="15.75" customHeight="1" thickTop="1" x14ac:dyDescent="0.2">
      <c r="B26" s="5"/>
      <c r="C26" s="11"/>
      <c r="D26" s="11"/>
      <c r="E26" s="11"/>
      <c r="F26" s="11"/>
      <c r="G26" s="39"/>
      <c r="H26" s="2"/>
      <c r="I26" s="2"/>
      <c r="J26" s="2"/>
      <c r="K26" s="2"/>
      <c r="L26" s="2"/>
    </row>
    <row r="27" spans="2:12" ht="15.75" customHeight="1" x14ac:dyDescent="0.2">
      <c r="B27" s="5" t="s">
        <v>83</v>
      </c>
      <c r="C27" s="2"/>
      <c r="D27" s="2"/>
      <c r="E27" s="2"/>
      <c r="F27" s="18"/>
      <c r="G27" s="16"/>
      <c r="H27" s="2"/>
      <c r="I27" s="2"/>
      <c r="J27" s="2"/>
      <c r="K27" s="2"/>
      <c r="L27" s="2"/>
    </row>
    <row r="28" spans="2:12" ht="15.75" customHeight="1" x14ac:dyDescent="0.2">
      <c r="B28" t="s">
        <v>68</v>
      </c>
      <c r="C28" s="2">
        <v>-369001</v>
      </c>
      <c r="D28" s="2">
        <v>-43175</v>
      </c>
      <c r="E28" s="2">
        <v>-1000</v>
      </c>
      <c r="F28" s="18">
        <v>0</v>
      </c>
      <c r="G28" s="16">
        <v>-1060100</v>
      </c>
      <c r="H28" s="2"/>
      <c r="I28" s="2"/>
      <c r="J28" s="2"/>
      <c r="K28" s="2"/>
      <c r="L28" s="2"/>
    </row>
    <row r="29" spans="2:12" ht="15.75" customHeight="1" x14ac:dyDescent="0.2">
      <c r="B29" t="s">
        <v>69</v>
      </c>
      <c r="C29" s="2">
        <v>323072</v>
      </c>
      <c r="D29" s="2">
        <v>43175</v>
      </c>
      <c r="E29" s="2">
        <v>1000</v>
      </c>
      <c r="F29" s="18">
        <v>0</v>
      </c>
      <c r="G29" s="16">
        <v>1154100</v>
      </c>
      <c r="H29" s="2"/>
      <c r="I29" s="2"/>
      <c r="J29" s="2"/>
      <c r="K29" s="2"/>
      <c r="L29" s="2"/>
    </row>
    <row r="30" spans="2:12" ht="15.75" customHeight="1" x14ac:dyDescent="0.2">
      <c r="B30" t="s">
        <v>70</v>
      </c>
      <c r="C30" s="2">
        <v>0</v>
      </c>
      <c r="D30" s="2">
        <v>0</v>
      </c>
      <c r="E30" s="2">
        <v>0</v>
      </c>
      <c r="F30" s="18">
        <v>0</v>
      </c>
      <c r="G30" s="16">
        <v>100000</v>
      </c>
      <c r="H30" s="2"/>
      <c r="I30" s="2"/>
      <c r="J30" s="2"/>
      <c r="K30" s="2"/>
      <c r="L30" s="2"/>
    </row>
    <row r="31" spans="2:12" ht="15.75" customHeight="1" x14ac:dyDescent="0.2">
      <c r="B31" t="s">
        <v>71</v>
      </c>
      <c r="C31" s="2">
        <v>3786</v>
      </c>
      <c r="D31" s="2">
        <v>3678</v>
      </c>
      <c r="E31" s="2">
        <v>4511</v>
      </c>
      <c r="F31" s="18">
        <v>4875</v>
      </c>
      <c r="G31" s="16">
        <v>2574</v>
      </c>
      <c r="H31" s="2"/>
      <c r="I31" s="2"/>
      <c r="J31" s="2"/>
      <c r="K31" s="2"/>
      <c r="L31" s="2"/>
    </row>
    <row r="32" spans="2:12" ht="15.75" customHeight="1" x14ac:dyDescent="0.2">
      <c r="B32" t="s">
        <v>72</v>
      </c>
      <c r="C32" s="2">
        <v>-3600</v>
      </c>
      <c r="D32" s="2">
        <v>-6571</v>
      </c>
      <c r="E32" s="2">
        <v>-11752</v>
      </c>
      <c r="F32" s="18">
        <v>-9216</v>
      </c>
      <c r="G32" s="16">
        <v>-9107</v>
      </c>
      <c r="H32" s="2"/>
      <c r="I32" s="2"/>
      <c r="J32" s="2"/>
      <c r="K32" s="2"/>
      <c r="L32" s="2"/>
    </row>
    <row r="33" spans="1:12" ht="15.75" customHeight="1" x14ac:dyDescent="0.2">
      <c r="B33" t="s">
        <v>73</v>
      </c>
      <c r="C33" s="2">
        <v>-19525</v>
      </c>
      <c r="D33" s="2">
        <v>-20571</v>
      </c>
      <c r="E33" s="2">
        <v>-19471</v>
      </c>
      <c r="F33" s="18">
        <v>-14520</v>
      </c>
      <c r="G33" s="16">
        <v>-10193</v>
      </c>
      <c r="H33" s="2"/>
      <c r="I33" s="2"/>
      <c r="J33" s="2"/>
      <c r="K33" s="2"/>
      <c r="L33" s="2"/>
    </row>
    <row r="34" spans="1:12" ht="15.75" customHeight="1" x14ac:dyDescent="0.2">
      <c r="B34" t="s">
        <v>74</v>
      </c>
      <c r="C34" s="2"/>
      <c r="D34" s="2"/>
      <c r="E34" s="2">
        <v>0</v>
      </c>
      <c r="F34" s="18">
        <v>-1563</v>
      </c>
      <c r="G34" s="16">
        <v>-1854</v>
      </c>
      <c r="H34" s="2"/>
      <c r="I34" s="2"/>
      <c r="J34" s="2"/>
      <c r="K34" s="2"/>
      <c r="L34" s="2"/>
    </row>
    <row r="35" spans="1:12" ht="15.75" customHeight="1" thickBot="1" x14ac:dyDescent="0.25">
      <c r="B35" s="7" t="s">
        <v>75</v>
      </c>
      <c r="C35" s="8">
        <v>-65268</v>
      </c>
      <c r="D35" s="8">
        <v>-23464</v>
      </c>
      <c r="E35" s="8">
        <v>-26712</v>
      </c>
      <c r="F35" s="34">
        <v>-20424</v>
      </c>
      <c r="G35" s="35">
        <v>175420</v>
      </c>
      <c r="H35" s="8">
        <f>H36*IS!H5</f>
        <v>-136712.54547132362</v>
      </c>
      <c r="I35" s="8">
        <f>I36*IS!I5</f>
        <v>-149406.53583004072</v>
      </c>
      <c r="J35" s="8">
        <f>J36*IS!J5</f>
        <v>-163279.18459696512</v>
      </c>
      <c r="K35" s="8">
        <f>K36*IS!K5</f>
        <v>-178439.93219264073</v>
      </c>
      <c r="L35" s="8">
        <f>L36*IS!L5</f>
        <v>-195008.38076518691</v>
      </c>
    </row>
    <row r="36" spans="1:12" s="1" customFormat="1" ht="15.75" customHeight="1" thickTop="1" x14ac:dyDescent="0.2">
      <c r="A36"/>
      <c r="B36" s="45" t="s">
        <v>153</v>
      </c>
      <c r="C36" s="44">
        <f>C35/(2*BS!C28)</f>
        <v>-0.11834461150155573</v>
      </c>
      <c r="D36" s="44">
        <f>D35/(2*BS!D28)</f>
        <v>-3.650870707146147E-2</v>
      </c>
      <c r="E36" s="44">
        <f>E35/(2*BS!E28)</f>
        <v>-4.8729408760056186E-2</v>
      </c>
      <c r="F36" s="44">
        <f>F35/(2*BS!F28)</f>
        <v>-3.1708771145390863E-2</v>
      </c>
      <c r="G36" s="44">
        <f>G35/(2*BS!G28)</f>
        <v>0.31509555970685443</v>
      </c>
      <c r="H36" s="44">
        <f>'Inputs &amp; Assumptions'!$B$52</f>
        <v>-3.8982295658969511E-2</v>
      </c>
      <c r="I36" s="44">
        <f>'Inputs &amp; Assumptions'!$B$52</f>
        <v>-3.8982295658969511E-2</v>
      </c>
      <c r="J36" s="44">
        <f>'Inputs &amp; Assumptions'!$B$52</f>
        <v>-3.8982295658969511E-2</v>
      </c>
      <c r="K36" s="44">
        <f>'Inputs &amp; Assumptions'!$B$52</f>
        <v>-3.8982295658969511E-2</v>
      </c>
      <c r="L36" s="44">
        <f>'Inputs &amp; Assumptions'!$B$52</f>
        <v>-3.8982295658969511E-2</v>
      </c>
    </row>
    <row r="37" spans="1:12" ht="15.75" customHeight="1" x14ac:dyDescent="0.2">
      <c r="B37" s="5"/>
      <c r="C37" s="11"/>
      <c r="D37" s="11"/>
      <c r="E37" s="11"/>
      <c r="F37" s="36"/>
      <c r="G37" s="37"/>
      <c r="H37" s="69"/>
      <c r="I37" s="2"/>
      <c r="J37" s="2"/>
      <c r="K37" s="2"/>
      <c r="L37" s="2"/>
    </row>
    <row r="38" spans="1:12" ht="15.75" customHeight="1" x14ac:dyDescent="0.2">
      <c r="B38" t="s">
        <v>76</v>
      </c>
      <c r="C38" s="2">
        <v>25060</v>
      </c>
      <c r="D38" s="2">
        <v>81280</v>
      </c>
      <c r="E38" s="2">
        <v>80802</v>
      </c>
      <c r="F38" s="18">
        <v>108825</v>
      </c>
      <c r="G38" s="16">
        <v>-276742</v>
      </c>
      <c r="H38" s="2">
        <f>SUM(H35,H25,H19)</f>
        <v>8417.4668500768021</v>
      </c>
      <c r="I38" s="2">
        <f>SUM(I35,I25,I19)</f>
        <v>182028.08335627988</v>
      </c>
      <c r="J38" s="2">
        <f>SUM(J35,J25,J19)</f>
        <v>220715.12706148438</v>
      </c>
      <c r="K38" s="2">
        <f>SUM(K35,K25,K19)</f>
        <v>261797.85329177871</v>
      </c>
      <c r="L38" s="2">
        <f>SUM(L35,L25,L19)</f>
        <v>305557.32605218026</v>
      </c>
    </row>
    <row r="39" spans="1:12" ht="15.75" customHeight="1" x14ac:dyDescent="0.2">
      <c r="B39" t="s">
        <v>77</v>
      </c>
      <c r="C39" s="2">
        <v>248</v>
      </c>
      <c r="D39" s="2">
        <v>25308</v>
      </c>
      <c r="E39" s="2">
        <v>106588</v>
      </c>
      <c r="F39" s="2">
        <v>187390</v>
      </c>
      <c r="G39" s="17">
        <v>296215</v>
      </c>
      <c r="H39" s="2">
        <f>G40</f>
        <v>19473</v>
      </c>
      <c r="I39" s="2">
        <f t="shared" ref="I39:L39" si="2">H40</f>
        <v>27890.466850076802</v>
      </c>
      <c r="J39" s="2">
        <f t="shared" si="2"/>
        <v>209918.55020635668</v>
      </c>
      <c r="K39" s="2">
        <f t="shared" si="2"/>
        <v>430633.67726784106</v>
      </c>
      <c r="L39" s="2">
        <f t="shared" si="2"/>
        <v>692431.53055961977</v>
      </c>
    </row>
    <row r="40" spans="1:12" ht="15.75" customHeight="1" thickBot="1" x14ac:dyDescent="0.25">
      <c r="B40" s="7" t="s">
        <v>78</v>
      </c>
      <c r="C40" s="8">
        <v>25308</v>
      </c>
      <c r="D40" s="8">
        <v>106588</v>
      </c>
      <c r="E40" s="8">
        <v>187390</v>
      </c>
      <c r="F40" s="8">
        <v>296215</v>
      </c>
      <c r="G40" s="38">
        <v>19473</v>
      </c>
      <c r="H40" s="8">
        <f>H39+H38</f>
        <v>27890.466850076802</v>
      </c>
      <c r="I40" s="8">
        <f t="shared" ref="I40:L40" si="3">I39+I38</f>
        <v>209918.55020635668</v>
      </c>
      <c r="J40" s="8">
        <f t="shared" si="3"/>
        <v>430633.67726784106</v>
      </c>
      <c r="K40" s="8">
        <f t="shared" si="3"/>
        <v>692431.53055961977</v>
      </c>
      <c r="L40" s="8">
        <f t="shared" si="3"/>
        <v>997988.85661180003</v>
      </c>
    </row>
    <row r="41" spans="1:12" ht="15.75" customHeight="1" thickTop="1" x14ac:dyDescent="0.2">
      <c r="C41" s="2"/>
      <c r="D41" s="2"/>
      <c r="E41" s="2"/>
      <c r="F41" s="2"/>
      <c r="G41" s="2"/>
      <c r="H41" s="2"/>
      <c r="I41" s="2"/>
      <c r="J41" s="2"/>
      <c r="K41" s="2"/>
      <c r="L41" s="2"/>
    </row>
    <row r="42" spans="1:12" ht="15.75" customHeight="1" x14ac:dyDescent="0.2">
      <c r="C42" s="4"/>
      <c r="H42" s="4"/>
      <c r="I42" s="4"/>
      <c r="J42" s="4"/>
      <c r="K42" s="4"/>
      <c r="L42" s="4"/>
    </row>
    <row r="43" spans="1:12" ht="15.75" customHeight="1" x14ac:dyDescent="0.2">
      <c r="C43" s="4"/>
      <c r="H43" s="4"/>
      <c r="I43" s="4"/>
      <c r="J43" s="4"/>
      <c r="K43" s="4"/>
      <c r="L43" s="4"/>
    </row>
    <row r="44" spans="1:12" ht="15.75" customHeight="1" x14ac:dyDescent="0.2">
      <c r="D44"/>
      <c r="E44"/>
      <c r="F44"/>
      <c r="G44"/>
    </row>
    <row r="45" spans="1:12" ht="15.75" customHeight="1" x14ac:dyDescent="0.2">
      <c r="D45"/>
      <c r="E45"/>
      <c r="F45"/>
      <c r="G45"/>
    </row>
    <row r="46" spans="1:12" ht="15.75" customHeight="1" x14ac:dyDescent="0.2">
      <c r="D46"/>
      <c r="E46"/>
      <c r="F46"/>
      <c r="G46"/>
    </row>
    <row r="47" spans="1:12" ht="15.75" customHeight="1" x14ac:dyDescent="0.2">
      <c r="D47"/>
      <c r="E47"/>
      <c r="F47"/>
      <c r="G47"/>
    </row>
    <row r="48" spans="1:12" ht="15.75" customHeight="1" x14ac:dyDescent="0.2">
      <c r="D48"/>
      <c r="E48"/>
      <c r="F48"/>
      <c r="G48"/>
    </row>
    <row r="49" spans="3:7" ht="15.75" customHeight="1" x14ac:dyDescent="0.2">
      <c r="D49"/>
      <c r="E49"/>
      <c r="F49"/>
      <c r="G49"/>
    </row>
    <row r="50" spans="3:7" ht="15.75" customHeight="1" x14ac:dyDescent="0.2">
      <c r="D50"/>
      <c r="E50"/>
      <c r="F50"/>
      <c r="G50"/>
    </row>
    <row r="51" spans="3:7" ht="15.75" customHeight="1" x14ac:dyDescent="0.2">
      <c r="C5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B389-B7E6-40D0-8869-62B0A172BAE4}">
  <sheetPr>
    <tabColor rgb="FF7030A0"/>
    <outlinePr summaryBelow="0" summaryRight="0"/>
  </sheetPr>
  <dimension ref="A1:M57"/>
  <sheetViews>
    <sheetView showGridLines="0" zoomScale="98" zoomScaleNormal="111" workbookViewId="0">
      <selection activeCell="C22" sqref="C22"/>
    </sheetView>
  </sheetViews>
  <sheetFormatPr defaultColWidth="12.5703125" defaultRowHeight="15.75" customHeight="1" x14ac:dyDescent="0.2"/>
  <cols>
    <col min="1" max="1" width="3.85546875" style="63" customWidth="1"/>
    <col min="2" max="2" width="20.7109375" style="63" bestFit="1" customWidth="1"/>
    <col min="3" max="3" width="13.7109375" style="63" bestFit="1" customWidth="1"/>
    <col min="4" max="7" width="12.5703125" style="63"/>
    <col min="8" max="9" width="11.85546875" style="63" customWidth="1"/>
    <col min="10" max="16384" width="12.5703125" style="63"/>
  </cols>
  <sheetData>
    <row r="1" spans="1:13" customFormat="1" ht="15.75" customHeight="1" x14ac:dyDescent="0.2">
      <c r="D1" s="4"/>
      <c r="E1" s="4"/>
      <c r="F1" s="4"/>
      <c r="G1" s="4"/>
    </row>
    <row r="2" spans="1:13" customFormat="1" ht="15.75" customHeight="1" x14ac:dyDescent="0.2">
      <c r="D2" s="4"/>
      <c r="E2" s="4"/>
      <c r="F2" s="4"/>
      <c r="G2" s="4"/>
    </row>
    <row r="3" spans="1:13" customFormat="1" ht="15.75" customHeight="1" x14ac:dyDescent="0.2">
      <c r="B3" s="54" t="s">
        <v>52</v>
      </c>
      <c r="C3" s="55">
        <v>2020</v>
      </c>
      <c r="D3" s="56">
        <v>2021</v>
      </c>
      <c r="E3" s="56">
        <v>2022</v>
      </c>
      <c r="F3" s="56">
        <v>2023</v>
      </c>
      <c r="G3" s="56">
        <v>2024</v>
      </c>
      <c r="H3" s="57">
        <v>2025</v>
      </c>
      <c r="I3" s="57">
        <v>2026</v>
      </c>
      <c r="J3" s="57">
        <v>2027</v>
      </c>
      <c r="K3" s="57">
        <v>2028</v>
      </c>
      <c r="L3" s="57">
        <v>2029</v>
      </c>
    </row>
    <row r="4" spans="1:13" s="13" customFormat="1" ht="15.75" customHeight="1" x14ac:dyDescent="0.2">
      <c r="A4"/>
      <c r="B4" s="72"/>
      <c r="C4" s="74"/>
      <c r="D4" s="74"/>
      <c r="E4" s="74"/>
      <c r="F4" s="74"/>
      <c r="G4" s="74"/>
      <c r="H4" s="74"/>
      <c r="I4" s="74"/>
      <c r="J4" s="74"/>
      <c r="K4" s="74"/>
      <c r="L4" s="74"/>
    </row>
    <row r="5" spans="1:13" ht="15.75" customHeight="1" x14ac:dyDescent="0.2">
      <c r="B5" s="63" t="s">
        <v>128</v>
      </c>
      <c r="C5" s="70">
        <f>IS!C25</f>
        <v>180321</v>
      </c>
      <c r="D5" s="70">
        <f>IS!D25</f>
        <v>335141</v>
      </c>
      <c r="E5" s="70">
        <f>IS!E25</f>
        <v>470488</v>
      </c>
      <c r="F5" s="70">
        <f>IS!F25</f>
        <v>460496</v>
      </c>
      <c r="G5" s="70">
        <f>IS!G25</f>
        <v>482160</v>
      </c>
      <c r="H5" s="70">
        <f>IS!H25</f>
        <v>507241.29059726372</v>
      </c>
      <c r="I5" s="70">
        <f>IS!I25</f>
        <v>586544.08380297758</v>
      </c>
      <c r="J5" s="70">
        <f>IS!J25</f>
        <v>671600.04586509289</v>
      </c>
      <c r="K5" s="70">
        <f>IS!K25</f>
        <v>763023.87967265211</v>
      </c>
      <c r="L5" s="70">
        <f>IS!L25</f>
        <v>861483.33874138584</v>
      </c>
    </row>
    <row r="6" spans="1:13" ht="15.75" customHeight="1" x14ac:dyDescent="0.2">
      <c r="B6" s="63" t="s">
        <v>182</v>
      </c>
      <c r="C6" s="70">
        <f>C5*(1-'Inputs &amp; Assumptions'!$B$42)</f>
        <v>138202.8690875544</v>
      </c>
      <c r="D6" s="70">
        <f>D5*(1-'Inputs &amp; Assumptions'!$B$42)</f>
        <v>256861.08522508232</v>
      </c>
      <c r="E6" s="70">
        <f>E5*(1-'Inputs &amp; Assumptions'!$B$42)</f>
        <v>360594.66990126105</v>
      </c>
      <c r="F6" s="70">
        <f>F5*(1-'Inputs &amp; Assumptions'!$B$42)</f>
        <v>352936.53209189419</v>
      </c>
      <c r="G6" s="70">
        <f>G5*(1-'Inputs &amp; Assumptions'!$B$42)</f>
        <v>369540.40494038537</v>
      </c>
      <c r="H6" s="70">
        <f>H5*(1-'Inputs &amp; Assumptions'!$B$42)</f>
        <v>388763.38130453898</v>
      </c>
      <c r="I6" s="70">
        <f>I5*(1-'Inputs &amp; Assumptions'!$B$42)</f>
        <v>449543.17704483919</v>
      </c>
      <c r="J6" s="70">
        <f>J5*(1-'Inputs &amp; Assumptions'!$B$42)</f>
        <v>514732.35628622823</v>
      </c>
      <c r="K6" s="70">
        <f>K5*(1-'Inputs &amp; Assumptions'!$B$42)</f>
        <v>584802.04387219122</v>
      </c>
      <c r="L6" s="70">
        <f>L5*(1-'Inputs &amp; Assumptions'!$B$42)</f>
        <v>660264.02407476131</v>
      </c>
    </row>
    <row r="7" spans="1:13" ht="15.75" customHeight="1" x14ac:dyDescent="0.2">
      <c r="B7" s="64" t="s">
        <v>136</v>
      </c>
      <c r="C7" s="70">
        <f>'Supporting Schedules'!C5</f>
        <v>231142</v>
      </c>
      <c r="D7" s="70">
        <f>'Supporting Schedules'!D5</f>
        <v>285746</v>
      </c>
      <c r="E7" s="70">
        <f>'Supporting Schedules'!E5</f>
        <v>367429</v>
      </c>
      <c r="F7" s="70">
        <f>'Supporting Schedules'!F5</f>
        <v>439879</v>
      </c>
      <c r="G7" s="70">
        <f>'Supporting Schedules'!G5</f>
        <v>1043557</v>
      </c>
      <c r="H7" s="70">
        <f>'Supporting Schedules'!H5</f>
        <v>600000</v>
      </c>
      <c r="I7" s="70">
        <f>'Supporting Schedules'!I5</f>
        <v>511863.42356324074</v>
      </c>
      <c r="J7" s="70">
        <f>'Supporting Schedules'!J5</f>
        <v>559390.80549655866</v>
      </c>
      <c r="K7" s="70">
        <f>'Supporting Schedules'!K5</f>
        <v>611331.18497854099</v>
      </c>
      <c r="L7" s="70">
        <f>'Supporting Schedules'!L5</f>
        <v>668094.31627235794</v>
      </c>
    </row>
    <row r="8" spans="1:13" s="64" customFormat="1" ht="15.75" customHeight="1" x14ac:dyDescent="0.2">
      <c r="A8" s="63"/>
      <c r="B8" s="64" t="s">
        <v>110</v>
      </c>
      <c r="C8" s="70">
        <f>IS!C21</f>
        <v>134655</v>
      </c>
      <c r="D8" s="70">
        <f>IS!D21</f>
        <v>141700</v>
      </c>
      <c r="E8" s="70">
        <f>IS!E21</f>
        <v>157203</v>
      </c>
      <c r="F8" s="70">
        <f>IS!F21</f>
        <v>178845</v>
      </c>
      <c r="G8" s="70">
        <f>IS!G21</f>
        <v>210105</v>
      </c>
      <c r="H8" s="70">
        <f>IS!H21</f>
        <v>361216.98103251058</v>
      </c>
      <c r="I8" s="70">
        <f>IS!I21</f>
        <v>394756.58677113225</v>
      </c>
      <c r="J8" s="70">
        <f>IS!J21</f>
        <v>431410.40145388141</v>
      </c>
      <c r="K8" s="70">
        <f>IS!K21</f>
        <v>471467.58463210356</v>
      </c>
      <c r="L8" s="70">
        <f>IS!L21</f>
        <v>515244.14480903989</v>
      </c>
    </row>
    <row r="9" spans="1:13" ht="15.75" customHeight="1" x14ac:dyDescent="0.2">
      <c r="B9" s="63" t="s">
        <v>155</v>
      </c>
      <c r="C9" s="70">
        <f>SUM(BS!C7:C10)-SUM(BS!C22:C27)</f>
        <v>-29366</v>
      </c>
      <c r="D9" s="70">
        <f>SUM(BS!D7:D10)-SUM(BS!D22:D27)</f>
        <v>-11681</v>
      </c>
      <c r="E9" s="70">
        <f>SUM(BS!E7:E10)-SUM(BS!E22:E27)</f>
        <v>69411</v>
      </c>
      <c r="F9" s="70">
        <f>SUM(BS!F7:F10)-SUM(BS!F22:F27)</f>
        <v>30423</v>
      </c>
      <c r="G9" s="70">
        <f>SUM(BS!G7:G10)-SUM(BS!G22:G27)</f>
        <v>137936</v>
      </c>
      <c r="H9" s="70">
        <f>SUM(BS!H7:H10)-SUM(BS!H22:H27)</f>
        <v>97603.569692042249</v>
      </c>
      <c r="I9" s="70">
        <f>SUM(BS!I7:I10)-SUM(BS!I22:I27)</f>
        <v>117189.26243783848</v>
      </c>
      <c r="J9" s="70">
        <f>SUM(BS!J7:J10)-SUM(BS!J22:J27)</f>
        <v>138722.26917710179</v>
      </c>
      <c r="K9" s="70">
        <f>SUM(BS!K7:K10)-SUM(BS!K22:K27)</f>
        <v>162387.52127825283</v>
      </c>
      <c r="L9" s="70">
        <f>SUM(BS!L7:L10)-SUM(BS!L22:L27)</f>
        <v>188387.25313846802</v>
      </c>
    </row>
    <row r="10" spans="1:13" s="65" customFormat="1" ht="15.75" customHeight="1" x14ac:dyDescent="0.2">
      <c r="B10" s="63" t="s">
        <v>156</v>
      </c>
      <c r="C10" s="70"/>
      <c r="D10" s="70">
        <f t="shared" ref="D10:L10" si="0">D9-C9</f>
        <v>17685</v>
      </c>
      <c r="E10" s="70">
        <f t="shared" si="0"/>
        <v>81092</v>
      </c>
      <c r="F10" s="70">
        <f t="shared" si="0"/>
        <v>-38988</v>
      </c>
      <c r="G10" s="70">
        <f t="shared" si="0"/>
        <v>107513</v>
      </c>
      <c r="H10" s="70">
        <f t="shared" si="0"/>
        <v>-40332.430307957751</v>
      </c>
      <c r="I10" s="70">
        <f t="shared" si="0"/>
        <v>19585.69274579623</v>
      </c>
      <c r="J10" s="70">
        <f t="shared" si="0"/>
        <v>21533.006739263306</v>
      </c>
      <c r="K10" s="70">
        <f t="shared" si="0"/>
        <v>23665.25210115104</v>
      </c>
      <c r="L10" s="70">
        <f t="shared" si="0"/>
        <v>25999.731860215194</v>
      </c>
    </row>
    <row r="11" spans="1:13" s="65" customFormat="1" ht="15.75" customHeight="1" x14ac:dyDescent="0.2">
      <c r="B11" s="63"/>
      <c r="C11" s="70"/>
      <c r="D11" s="70"/>
      <c r="E11" s="70"/>
      <c r="F11" s="70"/>
      <c r="G11" s="70"/>
    </row>
    <row r="12" spans="1:13" s="64" customFormat="1" ht="15.75" customHeight="1" x14ac:dyDescent="0.2">
      <c r="B12" s="117" t="s">
        <v>135</v>
      </c>
      <c r="C12" s="118">
        <f>C6-DCF!C7+DCF!C8-DCF!C10</f>
        <v>41715.869087554398</v>
      </c>
      <c r="D12" s="118">
        <f>D6-DCF!D7+DCF!D8-DCF!D10</f>
        <v>95130.085225082323</v>
      </c>
      <c r="E12" s="118">
        <f>E6-DCF!E7+DCF!E8-DCF!E10</f>
        <v>69276.669901261048</v>
      </c>
      <c r="F12" s="118">
        <f>F6-DCF!F7+DCF!F8-DCF!F10</f>
        <v>130890.53209189419</v>
      </c>
      <c r="G12" s="118">
        <f>G6-DCF!G7+DCF!G8-DCF!G10</f>
        <v>-571424.59505961463</v>
      </c>
      <c r="H12" s="118">
        <f>H6-DCF!H7+DCF!H8-DCF!H10</f>
        <v>190312.79264500731</v>
      </c>
      <c r="I12" s="118">
        <f>I6-DCF!I7+DCF!I8-DCF!I10</f>
        <v>312850.64750693447</v>
      </c>
      <c r="J12" s="118">
        <f>J6-DCF!J7+DCF!J8-DCF!J10</f>
        <v>365218.94550428767</v>
      </c>
      <c r="K12" s="118">
        <f>K6-DCF!K7+DCF!K8-DCF!K10</f>
        <v>421273.19142460276</v>
      </c>
      <c r="L12" s="118">
        <f>L6-DCF!L7+DCF!L8-DCF!L10</f>
        <v>481414.12075122807</v>
      </c>
      <c r="M12" s="71"/>
    </row>
    <row r="13" spans="1:13" s="64" customFormat="1" ht="15.75" customHeight="1" thickBot="1" x14ac:dyDescent="0.25">
      <c r="B13" s="73" t="s">
        <v>179</v>
      </c>
      <c r="C13" s="75"/>
      <c r="D13" s="76"/>
      <c r="E13" s="76"/>
      <c r="F13" s="76"/>
      <c r="G13" s="76"/>
      <c r="H13" s="76">
        <f>H12/POWER(1+$C$16,COLUMN(H12)-COLUMN($H$12)+1)</f>
        <v>175458.73141769893</v>
      </c>
      <c r="I13" s="76">
        <f>I12/POWER(1+$C$16,COLUMN(I12)-COLUMN($H$12)+1)</f>
        <v>265920.03790205577</v>
      </c>
      <c r="J13" s="76">
        <f>J12/POWER(1+$C$16,COLUMN(J12)-COLUMN($H$12)+1)</f>
        <v>286203.08250424499</v>
      </c>
      <c r="K13" s="76">
        <f>K12/POWER(1+$C$16,COLUMN(K12)-COLUMN($H$12)+1)</f>
        <v>304362.98480462329</v>
      </c>
      <c r="L13" s="76">
        <f>L12/POWER(1+$C$16,COLUMN(L12)-COLUMN($H$12)+1)</f>
        <v>320666.68293426611</v>
      </c>
      <c r="M13" s="71"/>
    </row>
    <row r="14" spans="1:13" s="64" customFormat="1" ht="15.75" customHeight="1" thickTop="1" x14ac:dyDescent="0.2">
      <c r="B14" s="65"/>
      <c r="C14" s="115"/>
      <c r="D14" s="116"/>
      <c r="E14" s="116"/>
      <c r="F14" s="116"/>
      <c r="G14" s="116"/>
      <c r="H14" s="116"/>
      <c r="I14" s="116"/>
      <c r="J14" s="116"/>
      <c r="K14" s="116"/>
      <c r="L14" s="116"/>
      <c r="M14" s="71"/>
    </row>
    <row r="15" spans="1:13" ht="15.75" customHeight="1" x14ac:dyDescent="0.2">
      <c r="C15" s="70"/>
      <c r="D15" s="70"/>
      <c r="E15" s="70"/>
      <c r="F15" s="70"/>
      <c r="G15" s="70"/>
      <c r="H15" s="70"/>
      <c r="I15" s="70"/>
      <c r="J15" s="70"/>
      <c r="K15" s="70"/>
      <c r="L15" s="70"/>
    </row>
    <row r="16" spans="1:13" s="64" customFormat="1" ht="15.75" customHeight="1" x14ac:dyDescent="0.2">
      <c r="B16" s="64" t="s">
        <v>162</v>
      </c>
      <c r="C16" s="64">
        <f>_xlfn.XLOOKUP('Inputs &amp; Assumptions'!$D$6,'Inputs &amp; Assumptions'!B29:B32,'Inputs &amp; Assumptions'!C29:C32,'Inputs &amp; Assumptions'!$C$29)</f>
        <v>8.4658432825133328E-2</v>
      </c>
      <c r="D16" s="77"/>
      <c r="E16" s="77"/>
      <c r="F16" s="77"/>
      <c r="G16" s="70"/>
      <c r="H16" s="70"/>
      <c r="I16" s="70"/>
      <c r="J16" s="70"/>
      <c r="K16" s="70"/>
    </row>
    <row r="17" spans="2:12" ht="15.75" customHeight="1" x14ac:dyDescent="0.2">
      <c r="B17" s="63" t="s">
        <v>177</v>
      </c>
      <c r="C17" s="64">
        <f>'Inputs &amp; Assumptions'!$D$7</f>
        <v>0.03</v>
      </c>
      <c r="D17" s="70"/>
      <c r="E17" s="70"/>
      <c r="F17" s="70"/>
      <c r="G17" s="70"/>
      <c r="H17" s="70"/>
      <c r="I17" s="70"/>
      <c r="J17" s="70"/>
      <c r="K17" s="70"/>
    </row>
    <row r="18" spans="2:12" s="64" customFormat="1" ht="15.75" customHeight="1" x14ac:dyDescent="0.2">
      <c r="B18" s="63" t="s">
        <v>176</v>
      </c>
      <c r="C18" s="77">
        <f>L12*(1+C17)/(C16-C17)</f>
        <v>9071912.9463543203</v>
      </c>
      <c r="D18" s="77"/>
      <c r="E18" s="77"/>
      <c r="F18" s="77"/>
      <c r="G18" s="77"/>
      <c r="H18" s="77"/>
      <c r="I18" s="77"/>
      <c r="J18" s="77"/>
      <c r="K18" s="77"/>
    </row>
    <row r="19" spans="2:12" ht="15.75" customHeight="1" thickBot="1" x14ac:dyDescent="0.25">
      <c r="B19" s="136" t="s">
        <v>178</v>
      </c>
      <c r="C19" s="137">
        <f>SUM(H13:L13,C18)</f>
        <v>10424524.465917209</v>
      </c>
      <c r="D19" s="70"/>
      <c r="E19" s="70"/>
      <c r="F19" s="70"/>
      <c r="G19" s="70"/>
      <c r="H19" s="70"/>
      <c r="I19" s="70"/>
      <c r="J19" s="70"/>
      <c r="K19" s="70"/>
    </row>
    <row r="20" spans="2:12" ht="15.75" customHeight="1" thickTop="1" x14ac:dyDescent="0.2">
      <c r="B20" s="65"/>
      <c r="C20" s="116"/>
      <c r="D20" s="70"/>
      <c r="E20" s="70"/>
      <c r="F20" s="70"/>
      <c r="G20" s="70"/>
      <c r="H20" s="70"/>
      <c r="I20" s="70"/>
      <c r="J20" s="70"/>
      <c r="K20" s="70"/>
    </row>
    <row r="21" spans="2:12" s="64" customFormat="1" ht="15.75" customHeight="1" x14ac:dyDescent="0.2">
      <c r="B21" s="64" t="s">
        <v>180</v>
      </c>
      <c r="C21" s="77">
        <f>C19-WACC!C13+BS!G6</f>
        <v>10108869.465917209</v>
      </c>
      <c r="D21" s="77"/>
      <c r="E21" s="77"/>
      <c r="F21" s="77"/>
      <c r="G21" s="77"/>
      <c r="H21" s="77"/>
      <c r="I21" s="77"/>
      <c r="J21" s="77"/>
      <c r="K21" s="77"/>
    </row>
    <row r="22" spans="2:12" ht="15.75" customHeight="1" thickBot="1" x14ac:dyDescent="0.25">
      <c r="B22" s="136" t="s">
        <v>181</v>
      </c>
      <c r="C22" s="138">
        <f>C21/IS!G42</f>
        <v>377.1684749614659</v>
      </c>
      <c r="D22" s="70"/>
      <c r="E22" s="134"/>
      <c r="F22" s="64"/>
      <c r="G22" s="70"/>
      <c r="H22" s="70"/>
      <c r="I22" s="70"/>
      <c r="J22" s="70"/>
      <c r="K22" s="70"/>
    </row>
    <row r="23" spans="2:12" ht="15.75" customHeight="1" thickTop="1" x14ac:dyDescent="0.2">
      <c r="B23" s="65"/>
      <c r="C23" s="120"/>
      <c r="D23" s="70"/>
      <c r="E23" s="70"/>
      <c r="F23" s="70"/>
      <c r="G23" s="70"/>
      <c r="H23" s="70"/>
      <c r="I23" s="70"/>
      <c r="J23" s="70"/>
      <c r="K23" s="70"/>
    </row>
    <row r="24" spans="2:12" s="64" customFormat="1" ht="15.75" customHeight="1" x14ac:dyDescent="0.2">
      <c r="B24" s="64" t="e" vm="1">
        <v>#VALUE!</v>
      </c>
      <c r="C24" s="133" cm="1">
        <f t="array" aca="1" ref="C24" ca="1">_FV(B24,"Previous close",TRUE)</f>
        <v>288.23</v>
      </c>
      <c r="D24" s="77"/>
      <c r="E24" s="77"/>
      <c r="F24" s="77"/>
      <c r="G24" s="77"/>
      <c r="H24" s="77"/>
      <c r="I24" s="77"/>
      <c r="J24" s="77"/>
      <c r="K24" s="77"/>
    </row>
    <row r="25" spans="2:12" ht="15.75" customHeight="1" thickBot="1" x14ac:dyDescent="0.25">
      <c r="B25" s="73" t="s">
        <v>192</v>
      </c>
      <c r="C25" s="135">
        <f ca="1">C22/C24 - 1</f>
        <v>0.30856772355919193</v>
      </c>
      <c r="D25" s="70"/>
      <c r="E25" s="70"/>
      <c r="F25" s="70"/>
      <c r="G25" s="70"/>
      <c r="H25" s="70"/>
      <c r="I25" s="70"/>
      <c r="J25" s="70"/>
      <c r="K25" s="70"/>
    </row>
    <row r="26" spans="2:12" s="64" customFormat="1" ht="15.75" customHeight="1" thickTop="1" x14ac:dyDescent="0.2">
      <c r="C26" s="77"/>
      <c r="D26" s="77"/>
      <c r="E26" s="77"/>
      <c r="F26" s="77"/>
      <c r="G26" s="77"/>
      <c r="H26" s="77"/>
      <c r="I26" s="77"/>
      <c r="J26" s="77"/>
      <c r="K26" s="77"/>
      <c r="L26" s="77"/>
    </row>
    <row r="27" spans="2:12" ht="15.75" customHeight="1" x14ac:dyDescent="0.2">
      <c r="C27" s="70"/>
      <c r="D27" s="70"/>
      <c r="E27" s="70"/>
      <c r="F27" s="70"/>
      <c r="G27" s="70"/>
      <c r="H27" s="70"/>
      <c r="I27" s="70"/>
      <c r="J27" s="70"/>
      <c r="K27" s="70"/>
      <c r="L27" s="70"/>
    </row>
    <row r="28" spans="2:12" ht="15.75" customHeight="1" x14ac:dyDescent="0.2">
      <c r="B28" s="198" t="s">
        <v>191</v>
      </c>
      <c r="C28" s="198"/>
      <c r="D28" s="198"/>
      <c r="E28" s="198"/>
      <c r="F28" s="198"/>
      <c r="G28" s="198"/>
      <c r="H28" s="198"/>
      <c r="I28" s="198"/>
      <c r="J28" s="198"/>
      <c r="K28" s="198"/>
      <c r="L28" s="198"/>
    </row>
    <row r="29" spans="2:12" s="64" customFormat="1" ht="15.75" customHeight="1" x14ac:dyDescent="0.2">
      <c r="C29" s="77"/>
      <c r="D29" s="77"/>
      <c r="E29" s="77"/>
      <c r="F29" s="77"/>
      <c r="G29" s="77"/>
      <c r="H29" s="77"/>
      <c r="I29" s="77"/>
      <c r="J29" s="77"/>
      <c r="K29" s="77"/>
      <c r="L29" s="77"/>
    </row>
    <row r="30" spans="2:12" ht="15.75" customHeight="1" x14ac:dyDescent="0.2">
      <c r="B30" s="199" t="s">
        <v>200</v>
      </c>
      <c r="C30" s="145" t="s">
        <v>197</v>
      </c>
      <c r="D30" s="146" t="s">
        <v>198</v>
      </c>
      <c r="E30" s="146" t="s">
        <v>201</v>
      </c>
      <c r="H30" s="199" t="s">
        <v>210</v>
      </c>
      <c r="I30" s="199"/>
      <c r="J30" s="158" t="s">
        <v>86</v>
      </c>
      <c r="K30" s="146" t="s">
        <v>198</v>
      </c>
      <c r="L30" s="146" t="s">
        <v>199</v>
      </c>
    </row>
    <row r="31" spans="2:12" ht="15.75" customHeight="1" x14ac:dyDescent="0.2">
      <c r="B31" s="199"/>
      <c r="C31" s="64">
        <f>C32-2.5%</f>
        <v>4.2851686104986929E-2</v>
      </c>
      <c r="D31" s="71">
        <v>285.3</v>
      </c>
      <c r="E31" s="64">
        <f ca="1">D31/$C$24-1</f>
        <v>-1.0165492835582768E-2</v>
      </c>
      <c r="H31" s="199"/>
      <c r="I31" s="199"/>
      <c r="J31" s="159" t="s">
        <v>213</v>
      </c>
      <c r="K31" s="156">
        <v>158.44999999999999</v>
      </c>
      <c r="L31" s="157">
        <f ca="1">K31/$C$24-1</f>
        <v>-0.45026541303819878</v>
      </c>
    </row>
    <row r="32" spans="2:12" ht="15.75" customHeight="1" x14ac:dyDescent="0.2">
      <c r="B32" s="199"/>
      <c r="C32" s="64">
        <f>C33-2.5%</f>
        <v>6.785168610498693E-2</v>
      </c>
      <c r="D32" s="71">
        <v>329.4</v>
      </c>
      <c r="E32" s="64">
        <f ca="1">D32/$C$24-1</f>
        <v>0.14283731742011563</v>
      </c>
      <c r="H32" s="199"/>
      <c r="I32" s="199"/>
      <c r="J32" s="159" t="s">
        <v>208</v>
      </c>
      <c r="K32" s="63">
        <v>297.43</v>
      </c>
      <c r="L32" s="157">
        <f ca="1">K32/$C$24-1</f>
        <v>3.1918953613433665E-2</v>
      </c>
    </row>
    <row r="33" spans="2:12" ht="15.75" customHeight="1" x14ac:dyDescent="0.2">
      <c r="B33" s="199"/>
      <c r="C33" s="139">
        <f>_xlfn.XLOOKUP('Inputs &amp; Assumptions'!$D$4,Table1[ID],Table1[CAGR],'Inputs &amp; Assumptions'!$D$13)</f>
        <v>9.2851686104986939E-2</v>
      </c>
      <c r="D33" s="120">
        <f>$C$22</f>
        <v>377.1684749614659</v>
      </c>
      <c r="E33" s="119">
        <f ca="1">C25</f>
        <v>0.30856772355919193</v>
      </c>
      <c r="H33" s="199"/>
      <c r="I33" s="199"/>
      <c r="J33" s="160" t="s">
        <v>209</v>
      </c>
      <c r="K33" s="154">
        <v>377.17</v>
      </c>
      <c r="L33" s="155">
        <f ca="1">K33/C24-1</f>
        <v>0.30857301460639075</v>
      </c>
    </row>
    <row r="34" spans="2:12" ht="15.75" customHeight="1" x14ac:dyDescent="0.2">
      <c r="B34" s="199"/>
      <c r="C34" s="64">
        <f>C33+2.5%</f>
        <v>0.11785168610498695</v>
      </c>
      <c r="D34" s="63">
        <v>428.85</v>
      </c>
      <c r="E34" s="64">
        <f ca="1">D34/$C$24-1</f>
        <v>0.48787426707837489</v>
      </c>
      <c r="H34" s="199"/>
      <c r="I34" s="199"/>
      <c r="J34" s="159" t="s">
        <v>207</v>
      </c>
      <c r="K34" s="71">
        <v>420</v>
      </c>
      <c r="L34" s="157">
        <f ca="1">K34/$C$24-1</f>
        <v>0.45716962148284357</v>
      </c>
    </row>
    <row r="35" spans="2:12" ht="15.75" customHeight="1" x14ac:dyDescent="0.2">
      <c r="B35" s="199"/>
      <c r="C35" s="64">
        <f>C34+2.5%</f>
        <v>0.14285168610498694</v>
      </c>
      <c r="D35" s="63">
        <v>484.67</v>
      </c>
      <c r="E35" s="64">
        <f ca="1">D35/$C$24-1</f>
        <v>0.68153904867640414</v>
      </c>
      <c r="H35" s="199"/>
      <c r="I35" s="199"/>
      <c r="J35" s="159" t="s">
        <v>214</v>
      </c>
      <c r="K35" s="63">
        <v>568.45000000000005</v>
      </c>
      <c r="L35" s="157">
        <f ca="1">K35/$C$24-1</f>
        <v>0.97220969364743448</v>
      </c>
    </row>
    <row r="37" spans="2:12" ht="15.75" customHeight="1" x14ac:dyDescent="0.2">
      <c r="B37" s="199" t="s">
        <v>195</v>
      </c>
      <c r="C37" s="142" t="s">
        <v>194</v>
      </c>
      <c r="D37" s="143">
        <f t="shared" ref="D37:E37" si="1">E37-0.001</f>
        <v>8.1658432825133326E-2</v>
      </c>
      <c r="E37" s="143">
        <f t="shared" si="1"/>
        <v>8.2658432825133327E-2</v>
      </c>
      <c r="F37" s="143">
        <f>G37-0.001</f>
        <v>8.3658432825133328E-2</v>
      </c>
      <c r="G37" s="144">
        <f>_xlfn.XLOOKUP('Inputs &amp; Assumptions'!$D$6,'Inputs &amp; Assumptions'!$B$29:$B$32,'Inputs &amp; Assumptions'!$C$29:$C$32,'Inputs &amp; Assumptions'!$C$29)</f>
        <v>8.4658432825133328E-2</v>
      </c>
      <c r="H37" s="143">
        <f>G37+0.001</f>
        <v>8.5658432825133329E-2</v>
      </c>
      <c r="I37" s="143">
        <f t="shared" ref="I37:L37" si="2">H37+0.001</f>
        <v>8.665843282513333E-2</v>
      </c>
      <c r="J37" s="143">
        <f t="shared" si="2"/>
        <v>8.7658432825133331E-2</v>
      </c>
      <c r="K37" s="143">
        <f t="shared" si="2"/>
        <v>8.8658432825133332E-2</v>
      </c>
      <c r="L37" s="143">
        <f t="shared" si="2"/>
        <v>8.9658432825133333E-2</v>
      </c>
    </row>
    <row r="38" spans="2:12" ht="15.75" customHeight="1" x14ac:dyDescent="0.2">
      <c r="B38" s="199"/>
      <c r="C38" s="140">
        <f t="shared" ref="C38:C40" si="3">C39-0.05%</f>
        <v>2.7999999999999997E-2</v>
      </c>
      <c r="D38" s="134">
        <f>(NPV(D$37,$H$12,$I$12,$J$12,$K$12,$L$12)+($L$12*(1+$C38)/(D$37-$C38))-WACC!$C$13+BS!$G$6)/IS!$G$42</f>
        <v>383.26272859271592</v>
      </c>
      <c r="E38" s="134">
        <f>(NPV(E$37,$H$12,$I$12,$J$12,$K$12,$L$12)+($L$12*(1+$C38)/(E$37-$C38))-WACC!$C$13+BS!$G$6)/IS!$G$42</f>
        <v>376.8143684145096</v>
      </c>
      <c r="F38" s="134">
        <f>(NPV(F$37,$H$12,$I$12,$J$12,$K$12,$L$12)+($L$12*(1+$C38)/(F$37-$C38))-WACC!$C$13+BS!$G$6)/IS!$G$42</f>
        <v>370.59291375245414</v>
      </c>
      <c r="G38" s="120">
        <f>(NPV(G$37,$H$12,$I$12,$J$12,$K$12,$L$12)+($L$12*(1+$C38)/(G$37-$C38))-WACC!$C$13+BS!$G$6)/IS!$G$42</f>
        <v>364.58638223343752</v>
      </c>
      <c r="H38" s="134">
        <f>(NPV(H$37,$H$12,$I$12,$J$12,$K$12,$L$12)+($L$12*(1+$C38)/(H$37-$C38))-WACC!$C$13+BS!$G$6)/IS!$G$42</f>
        <v>358.78362251244334</v>
      </c>
      <c r="I38" s="134">
        <f>(NPV(I$37,$H$12,$I$12,$J$12,$K$12,$L$12)+($L$12*(1+$C38)/(I$37-$C38))-WACC!$C$13+BS!$G$6)/IS!$G$42</f>
        <v>353.17424343831669</v>
      </c>
      <c r="J38" s="134">
        <f>(NPV(J$37,$H$12,$I$12,$J$12,$K$12,$L$12)+($L$12*(1+$C38)/(J$37-$C38))-WACC!$C$13+BS!$G$6)/IS!$G$42</f>
        <v>347.74855034349213</v>
      </c>
      <c r="K38" s="134">
        <f>(NPV(K$37,$H$12,$I$12,$J$12,$K$12,$L$12)+($L$12*(1+$C38)/(K$37-$C38))-WACC!$C$13+BS!$G$6)/IS!$G$42</f>
        <v>342.49748763557369</v>
      </c>
      <c r="L38" s="134">
        <f>(NPV(L$37,$H$12,$I$12,$J$12,$K$12,$L$12)+($L$12*(1+$C38)/(L$37-$C38))-WACC!$C$13+BS!$G$6)/IS!$G$42</f>
        <v>337.41258697532908</v>
      </c>
    </row>
    <row r="39" spans="2:12" ht="15.75" customHeight="1" x14ac:dyDescent="0.2">
      <c r="B39" s="199"/>
      <c r="C39" s="140">
        <f t="shared" si="3"/>
        <v>2.8499999999999998E-2</v>
      </c>
      <c r="D39" s="134">
        <f>(NPV(D$37,$H$12,$I$12,$J$12,$K$12,$L$12)+($L$12*(1+$C39)/(D$37-$C39))-WACC!$C$13+BS!$G$6)/IS!$G$42</f>
        <v>386.66839114112082</v>
      </c>
      <c r="E39" s="134">
        <f>(NPV(E$37,$H$12,$I$12,$J$12,$K$12,$L$12)+($L$12*(1+$C39)/(E$37-$C39))-WACC!$C$13+BS!$G$6)/IS!$G$42</f>
        <v>380.09902390181963</v>
      </c>
      <c r="F39" s="134">
        <f>(NPV(F$37,$H$12,$I$12,$J$12,$K$12,$L$12)+($L$12*(1+$C39)/(F$37-$C39))-WACC!$C$13+BS!$G$6)/IS!$G$42</f>
        <v>373.76300051797904</v>
      </c>
      <c r="G39" s="120">
        <f>(NPV(G$37,$H$12,$I$12,$J$12,$K$12,$L$12)+($L$12*(1+$C39)/(G$37-$C39))-WACC!$C$13+BS!$G$6)/IS!$G$42</f>
        <v>367.64788802863995</v>
      </c>
      <c r="H39" s="134">
        <f>(NPV(H$37,$H$12,$I$12,$J$12,$K$12,$L$12)+($L$12*(1+$C39)/(H$37-$C39))-WACC!$C$13+BS!$G$6)/IS!$G$42</f>
        <v>361.74212330278533</v>
      </c>
      <c r="I39" s="134">
        <f>(NPV(I$37,$H$12,$I$12,$J$12,$K$12,$L$12)+($L$12*(1+$C39)/(I$37-$C39))-WACC!$C$13+BS!$G$6)/IS!$G$42</f>
        <v>356.03493826025749</v>
      </c>
      <c r="J39" s="134">
        <f>(NPV(J$37,$H$12,$I$12,$J$12,$K$12,$L$12)+($L$12*(1+$C39)/(J$37-$C39))-WACC!$C$13+BS!$G$6)/IS!$G$42</f>
        <v>350.51629267694398</v>
      </c>
      <c r="K39" s="134">
        <f>(NPV(K$37,$H$12,$I$12,$J$12,$K$12,$L$12)+($L$12*(1+$C39)/(K$37-$C39))-WACC!$C$13+BS!$G$6)/IS!$G$42</f>
        <v>345.17681369172936</v>
      </c>
      <c r="L39" s="134">
        <f>(NPV(L$37,$H$12,$I$12,$J$12,$K$12,$L$12)+($L$12*(1+$C39)/(L$37-$C39))-WACC!$C$13+BS!$G$6)/IS!$G$42</f>
        <v>340.00774124815359</v>
      </c>
    </row>
    <row r="40" spans="2:12" ht="15.75" customHeight="1" x14ac:dyDescent="0.2">
      <c r="B40" s="199"/>
      <c r="C40" s="140">
        <f t="shared" si="3"/>
        <v>2.8999999999999998E-2</v>
      </c>
      <c r="D40" s="134">
        <f>(NPV(D$37,$H$12,$I$12,$J$12,$K$12,$L$12)+($L$12*(1+$C40)/(D$37-$C40))-WACC!$C$13+BS!$G$6)/IS!$G$42</f>
        <v>390.13872827943834</v>
      </c>
      <c r="E40" s="134">
        <f>(NPV(E$37,$H$12,$I$12,$J$12,$K$12,$L$12)+($L$12*(1+$C40)/(E$37-$C40))-WACC!$C$13+BS!$G$6)/IS!$G$42</f>
        <v>383.44489354158202</v>
      </c>
      <c r="F40" s="134">
        <f>(NPV(F$37,$H$12,$I$12,$J$12,$K$12,$L$12)+($L$12*(1+$C40)/(F$37-$C40))-WACC!$C$13+BS!$G$6)/IS!$G$42</f>
        <v>376.99108541117943</v>
      </c>
      <c r="G40" s="120">
        <f>(NPV(G$37,$H$12,$I$12,$J$12,$K$12,$L$12)+($L$12*(1+$C40)/(G$37-$C40))-WACC!$C$13+BS!$G$6)/IS!$G$42</f>
        <v>370.76439906994449</v>
      </c>
      <c r="H40" s="134">
        <f>(NPV(H$37,$H$12,$I$12,$J$12,$K$12,$L$12)+($L$12*(1+$C40)/(H$37-$C40))-WACC!$C$13+BS!$G$6)/IS!$G$42</f>
        <v>364.75284051781153</v>
      </c>
      <c r="I40" s="134">
        <f>(NPV(I$37,$H$12,$I$12,$J$12,$K$12,$L$12)+($L$12*(1+$C40)/(I$37-$C40))-WACC!$C$13+BS!$G$6)/IS!$G$42</f>
        <v>358.94524759098351</v>
      </c>
      <c r="J40" s="134">
        <f>(NPV(J$37,$H$12,$I$12,$J$12,$K$12,$L$12)+($L$12*(1+$C40)/(J$37-$C40))-WACC!$C$13+BS!$G$6)/IS!$G$42</f>
        <v>353.33121905879517</v>
      </c>
      <c r="K40" s="134">
        <f>(NPV(K$37,$H$12,$I$12,$J$12,$K$12,$L$12)+($L$12*(1+$C40)/(K$37-$C40))-WACC!$C$13+BS!$G$6)/IS!$G$42</f>
        <v>347.90105085146735</v>
      </c>
      <c r="L40" s="134">
        <f>(NPV(L$37,$H$12,$I$12,$J$12,$K$12,$L$12)+($L$12*(1+$C40)/(L$37-$C40))-WACC!$C$13+BS!$G$6)/IS!$G$42</f>
        <v>342.64567859584434</v>
      </c>
    </row>
    <row r="41" spans="2:12" ht="15.75" customHeight="1" x14ac:dyDescent="0.2">
      <c r="B41" s="199"/>
      <c r="C41" s="140">
        <f>C42-0.05%</f>
        <v>2.9499999999999998E-2</v>
      </c>
      <c r="D41" s="134">
        <f>(NPV(D$37,$H$12,$I$12,$J$12,$K$12,$L$12)+($L$12*(1+$C41)/(D$37-$C41))-WACC!$C$13+BS!$G$6)/IS!$G$42</f>
        <v>393.67559995398233</v>
      </c>
      <c r="E41" s="134">
        <f>(NPV(E$37,$H$12,$I$12,$J$12,$K$12,$L$12)+($L$12*(1+$C41)/(E$37-$C41))-WACC!$C$13+BS!$G$6)/IS!$G$42</f>
        <v>386.85370464635656</v>
      </c>
      <c r="F41" s="134">
        <f>(NPV(F$37,$H$12,$I$12,$J$12,$K$12,$L$12)+($L$12*(1+$C41)/(F$37-$C41))-WACC!$C$13+BS!$G$6)/IS!$G$42</f>
        <v>380.2787747782321</v>
      </c>
      <c r="G41" s="120">
        <f>(NPV(G$37,$H$12,$I$12,$J$12,$K$12,$L$12)+($L$12*(1+$C41)/(G$37-$C41))-WACC!$C$13+BS!$G$6)/IS!$G$42</f>
        <v>373.93741119153145</v>
      </c>
      <c r="H41" s="134">
        <f>(NPV(H$37,$H$12,$I$12,$J$12,$K$12,$L$12)+($L$12*(1+$C41)/(H$37-$C41))-WACC!$C$13+BS!$G$6)/IS!$G$42</f>
        <v>367.81716886590493</v>
      </c>
      <c r="I41" s="134">
        <f>(NPV(I$37,$H$12,$I$12,$J$12,$K$12,$L$12)+($L$12*(1+$C41)/(I$37-$C41))-WACC!$C$13+BS!$G$6)/IS!$G$42</f>
        <v>361.90647345645135</v>
      </c>
      <c r="J41" s="134">
        <f>(NPV(J$37,$H$12,$I$12,$J$12,$K$12,$L$12)+($L$12*(1+$C41)/(J$37-$C41))-WACC!$C$13+BS!$G$6)/IS!$G$42</f>
        <v>356.19454644193064</v>
      </c>
      <c r="K41" s="134">
        <f>(NPV(K$37,$H$12,$I$12,$J$12,$K$12,$L$12)+($L$12*(1+$C41)/(K$37-$C41))-WACC!$C$13+BS!$G$6)/IS!$G$42</f>
        <v>350.67133786461824</v>
      </c>
      <c r="L41" s="134">
        <f>(NPV(L$37,$H$12,$I$12,$J$12,$K$12,$L$12)+($L$12*(1+$C41)/(L$37-$C41))-WACC!$C$13+BS!$G$6)/IS!$G$42</f>
        <v>345.32746577844301</v>
      </c>
    </row>
    <row r="42" spans="2:12" ht="15.75" customHeight="1" x14ac:dyDescent="0.2">
      <c r="B42" s="199"/>
      <c r="C42" s="141">
        <f>'Inputs &amp; Assumptions'!$D$7</f>
        <v>0.03</v>
      </c>
      <c r="D42" s="120">
        <f>(NPV(D$37,$H$12,$I$12,$J$12,$K$12,$L$12)+($L$12*(1+$C42)/(D$37-$C42))-WACC!$C$13+BS!$G$6)/IS!$G$42</f>
        <v>397.28093812046416</v>
      </c>
      <c r="E42" s="120">
        <f>(NPV(E$37,$H$12,$I$12,$J$12,$K$12,$L$12)+($L$12*(1+$C42)/(E$37-$C42))-WACC!$C$13+BS!$G$6)/IS!$G$42</f>
        <v>390.32725013310738</v>
      </c>
      <c r="F42" s="120">
        <f>(NPV(F$37,$H$12,$I$12,$J$12,$K$12,$L$12)+($L$12*(1+$C42)/(F$37-$C42))-WACC!$C$13+BS!$G$6)/IS!$G$42</f>
        <v>383.62773483833229</v>
      </c>
      <c r="G42" s="120">
        <f>(NPV(G$37,$H$12,$I$12,$J$12,$K$12,$L$12)+($L$12*(1+$C42)/(G$37-$C42))-WACC!$C$13+BS!$G$6)/IS!$G$42</f>
        <v>377.1684749614659</v>
      </c>
      <c r="H42" s="120">
        <f>(NPV(H$37,$H$12,$I$12,$J$12,$K$12,$L$12)+($L$12*(1+$C42)/(H$37-$C42))-WACC!$C$13+BS!$G$6)/IS!$G$42</f>
        <v>370.93655317214433</v>
      </c>
      <c r="I42" s="120">
        <f>(NPV(I$37,$H$12,$I$12,$J$12,$K$12,$L$12)+($L$12*(1+$C42)/(I$37-$C42))-WACC!$C$13+BS!$G$6)/IS!$G$42</f>
        <v>364.91996384315297</v>
      </c>
      <c r="J42" s="120">
        <f>(NPV(J$37,$H$12,$I$12,$J$12,$K$12,$L$12)+($L$12*(1+$C42)/(J$37-$C42))-WACC!$C$13+BS!$G$6)/IS!$G$42</f>
        <v>359.10753399172046</v>
      </c>
      <c r="K42" s="120">
        <f>(NPV(K$37,$H$12,$I$12,$J$12,$K$12,$L$12)+($L$12*(1+$C42)/(K$37-$C42))-WACC!$C$13+BS!$G$6)/IS!$G$42</f>
        <v>353.48885230747919</v>
      </c>
      <c r="L42" s="120">
        <f>(NPV(L$37,$H$12,$I$12,$J$12,$K$12,$L$12)+($L$12*(1+$C42)/(L$37-$C42))-WACC!$C$13+BS!$G$6)/IS!$G$42</f>
        <v>348.05420531824575</v>
      </c>
    </row>
    <row r="43" spans="2:12" ht="15.75" customHeight="1" x14ac:dyDescent="0.2">
      <c r="B43" s="199"/>
      <c r="C43" s="140">
        <f>C42+0.05%</f>
        <v>3.0499999999999999E-2</v>
      </c>
      <c r="D43" s="134">
        <f>(NPV(D$37,$H$12,$I$12,$J$12,$K$12,$L$12)+($L$12*(1+$C43)/(D$37-$C43))-WACC!$C$13+BS!$G$6)/IS!$G$42</f>
        <v>400.9567502629335</v>
      </c>
      <c r="E43" s="134">
        <f>(NPV(E$37,$H$12,$I$12,$J$12,$K$12,$L$12)+($L$12*(1+$C43)/(E$37-$C43))-WACC!$C$13+BS!$G$6)/IS!$G$42</f>
        <v>393.86739166768029</v>
      </c>
      <c r="F43" s="134">
        <f>(NPV(F$37,$H$12,$I$12,$J$12,$K$12,$L$12)+($L$12*(1+$C43)/(F$37-$C43))-WACC!$C$13+BS!$G$6)/IS!$G$42</f>
        <v>387.03969449947641</v>
      </c>
      <c r="G43" s="120">
        <f>(NPV(G$37,$H$12,$I$12,$J$12,$K$12,$L$12)+($L$12*(1+$C43)/(G$37-$C43))-WACC!$C$13+BS!$G$6)/IS!$G$42</f>
        <v>380.45919820826072</v>
      </c>
      <c r="H43" s="134">
        <f>(NPV(H$37,$H$12,$I$12,$J$12,$K$12,$L$12)+($L$12*(1+$C43)/(H$37-$C43))-WACC!$C$13+BS!$G$6)/IS!$G$42</f>
        <v>374.11249064979313</v>
      </c>
      <c r="I43" s="134">
        <f>(NPV(I$37,$H$12,$I$12,$J$12,$K$12,$L$12)+($L$12*(1+$C43)/(I$37-$C43))-WACC!$C$13+BS!$G$6)/IS!$G$42</f>
        <v>367.98711474413716</v>
      </c>
      <c r="J43" s="134">
        <f>(NPV(J$37,$H$12,$I$12,$J$12,$K$12,$L$12)+($L$12*(1+$C43)/(J$37-$C43))-WACC!$C$13+BS!$G$6)/IS!$G$42</f>
        <v>362.07148493231398</v>
      </c>
      <c r="K43" s="134">
        <f>(NPV(K$37,$H$12,$I$12,$J$12,$K$12,$L$12)+($L$12*(1+$C43)/(K$37-$C43))-WACC!$C$13+BS!$G$6)/IS!$G$42</f>
        <v>356.35481225180894</v>
      </c>
      <c r="L43" s="134">
        <f>(NPV(L$37,$H$12,$I$12,$J$12,$K$12,$L$12)+($L$12*(1+$C43)/(L$37-$C43))-WACC!$C$13+BS!$G$6)/IS!$G$42</f>
        <v>350.82703701109557</v>
      </c>
    </row>
    <row r="44" spans="2:12" ht="15.75" customHeight="1" x14ac:dyDescent="0.2">
      <c r="B44" s="199"/>
      <c r="C44" s="140">
        <f t="shared" ref="C44:C46" si="4">C43+0.05%</f>
        <v>3.1E-2</v>
      </c>
      <c r="D44" s="134">
        <f>(NPV(D$37,$H$12,$I$12,$J$12,$K$12,$L$12)+($L$12*(1+$C44)/(D$37-$C44))-WACC!$C$13+BS!$G$6)/IS!$G$42</f>
        <v>404.70512312111146</v>
      </c>
      <c r="E44" s="134">
        <f>(NPV(E$37,$H$12,$I$12,$J$12,$K$12,$L$12)+($L$12*(1+$C44)/(E$37-$C44))-WACC!$C$13+BS!$G$6)/IS!$G$42</f>
        <v>397.47606299189198</v>
      </c>
      <c r="F44" s="134">
        <f>(NPV(F$37,$H$12,$I$12,$J$12,$K$12,$L$12)+($L$12*(1+$C44)/(F$37-$C44))-WACC!$C$13+BS!$G$6)/IS!$G$42</f>
        <v>390.51644833466048</v>
      </c>
      <c r="G44" s="120">
        <f>(NPV(G$37,$H$12,$I$12,$J$12,$K$12,$L$12)+($L$12*(1+$C44)/(G$37-$C44))-WACC!$C$13+BS!$G$6)/IS!$G$42</f>
        <v>383.81124868869887</v>
      </c>
      <c r="H44" s="134">
        <f>(NPV(H$37,$H$12,$I$12,$J$12,$K$12,$L$12)+($L$12*(1+$C44)/(H$37-$C44))-WACC!$C$13+BS!$G$6)/IS!$G$42</f>
        <v>377.34653329646159</v>
      </c>
      <c r="I44" s="134">
        <f>(NPV(I$37,$H$12,$I$12,$J$12,$K$12,$L$12)+($L$12*(1+$C44)/(I$37-$C44))-WACC!$C$13+BS!$G$6)/IS!$G$42</f>
        <v>371.10937231531136</v>
      </c>
      <c r="J44" s="134">
        <f>(NPV(J$37,$H$12,$I$12,$J$12,$K$12,$L$12)+($L$12*(1+$C44)/(J$37-$C44))-WACC!$C$13+BS!$G$6)/IS!$G$42</f>
        <v>365.08774849069096</v>
      </c>
      <c r="K44" s="134">
        <f>(NPV(K$37,$H$12,$I$12,$J$12,$K$12,$L$12)+($L$12*(1+$C44)/(K$37-$C44))-WACC!$C$13+BS!$G$6)/IS!$G$42</f>
        <v>359.27047802066267</v>
      </c>
      <c r="L44" s="134">
        <f>(NPV(L$37,$H$12,$I$12,$J$12,$K$12,$L$12)+($L$12*(1+$C44)/(L$37-$C44))-WACC!$C$13+BS!$G$6)/IS!$G$42</f>
        <v>353.64713951496617</v>
      </c>
    </row>
    <row r="45" spans="2:12" ht="15.75" customHeight="1" x14ac:dyDescent="0.2">
      <c r="B45" s="199"/>
      <c r="C45" s="140">
        <f t="shared" si="4"/>
        <v>3.15E-2</v>
      </c>
      <c r="D45" s="134">
        <f>(NPV(D$37,$H$12,$I$12,$J$12,$K$12,$L$12)+($L$12*(1+$C45)/(D$37-$C45))-WACC!$C$13+BS!$G$6)/IS!$G$42</f>
        <v>408.52822664065701</v>
      </c>
      <c r="E45" s="134">
        <f>(NPV(E$37,$H$12,$I$12,$J$12,$K$12,$L$12)+($L$12*(1+$C45)/(E$37-$C45))-WACC!$C$13+BS!$G$6)/IS!$G$42</f>
        <v>401.15527344572382</v>
      </c>
      <c r="F45" s="134">
        <f>(NPV(F$37,$H$12,$I$12,$J$12,$K$12,$L$12)+($L$12*(1+$C45)/(F$37-$C45))-WACC!$C$13+BS!$G$6)/IS!$G$42</f>
        <v>394.05985972926248</v>
      </c>
      <c r="G45" s="120">
        <f>(NPV(G$37,$H$12,$I$12,$J$12,$K$12,$L$12)+($L$12*(1+$C45)/(G$37-$C45))-WACC!$C$13+BS!$G$6)/IS!$G$42</f>
        <v>387.22635690621263</v>
      </c>
      <c r="H45" s="134">
        <f>(NPV(H$37,$H$12,$I$12,$J$12,$K$12,$L$12)+($L$12*(1+$C45)/(H$37-$C45))-WACC!$C$13+BS!$G$6)/IS!$G$42</f>
        <v>380.64029042299904</v>
      </c>
      <c r="I45" s="134">
        <f>(NPV(I$37,$H$12,$I$12,$J$12,$K$12,$L$12)+($L$12*(1+$C45)/(I$37-$C45))-WACC!$C$13+BS!$G$6)/IS!$G$42</f>
        <v>374.28823514902223</v>
      </c>
      <c r="J45" s="134">
        <f>(NPV(J$37,$H$12,$I$12,$J$12,$K$12,$L$12)+($L$12*(1+$C45)/(J$37-$C45))-WACC!$C$13+BS!$G$6)/IS!$G$42</f>
        <v>368.15772194456611</v>
      </c>
      <c r="K45" s="134">
        <f>(NPV(K$37,$H$12,$I$12,$J$12,$K$12,$L$12)+($L$12*(1+$C45)/(K$37-$C45))-WACC!$C$13+BS!$G$6)/IS!$G$42</f>
        <v>362.23715403638198</v>
      </c>
      <c r="L45" s="134">
        <f>(NPV(L$37,$H$12,$I$12,$J$12,$K$12,$L$12)+($L$12*(1+$C45)/(L$37-$C45))-WACC!$C$13+BS!$G$6)/IS!$G$42</f>
        <v>356.51573202049059</v>
      </c>
    </row>
    <row r="46" spans="2:12" ht="15.75" customHeight="1" x14ac:dyDescent="0.2">
      <c r="B46" s="199"/>
      <c r="C46" s="140">
        <f t="shared" si="4"/>
        <v>3.2000000000000001E-2</v>
      </c>
      <c r="D46" s="134">
        <f>(NPV(D$37,$H$12,$I$12,$J$12,$K$12,$L$12)+($L$12*(1+$C46)/(D$37-$C46))-WACC!$C$13+BS!$G$6)/IS!$G$42</f>
        <v>412.42831816207939</v>
      </c>
      <c r="E46" s="134">
        <f>(NPV(E$37,$H$12,$I$12,$J$12,$K$12,$L$12)+($L$12*(1+$C46)/(E$37-$C46))-WACC!$C$13+BS!$G$6)/IS!$G$42</f>
        <v>404.90711169810061</v>
      </c>
      <c r="F46" s="134">
        <f>(NPV(F$37,$H$12,$I$12,$J$12,$K$12,$L$12)+($L$12*(1+$C46)/(F$37-$C46))-WACC!$C$13+BS!$G$6)/IS!$G$42</f>
        <v>397.67186421120402</v>
      </c>
      <c r="G46" s="120">
        <f>(NPV(G$37,$H$12,$I$12,$J$12,$K$12,$L$12)+($L$12*(1+$C46)/(G$37-$C46))-WACC!$C$13+BS!$G$6)/IS!$G$42</f>
        <v>390.70631908983006</v>
      </c>
      <c r="H46" s="134">
        <f>(NPV(H$37,$H$12,$I$12,$J$12,$K$12,$L$12)+($L$12*(1+$C46)/(H$37-$C46))-WACC!$C$13+BS!$G$6)/IS!$G$42</f>
        <v>383.99543132377499</v>
      </c>
      <c r="I46" s="134">
        <f>(NPV(I$37,$H$12,$I$12,$J$12,$K$12,$L$12)+($L$12*(1+$C46)/(I$37-$C46))-WACC!$C$13+BS!$G$6)/IS!$G$42</f>
        <v>377.52525667242463</v>
      </c>
      <c r="J46" s="134">
        <f>(NPV(J$37,$H$12,$I$12,$J$12,$K$12,$L$12)+($L$12*(1+$C46)/(J$37-$C46))-WACC!$C$13+BS!$G$6)/IS!$G$42</f>
        <v>371.28285278067517</v>
      </c>
      <c r="K46" s="134">
        <f>(NPV(K$37,$H$12,$I$12,$J$12,$K$12,$L$12)+($L$12*(1+$C46)/(K$37-$C46))-WACC!$C$13+BS!$G$6)/IS!$G$42</f>
        <v>365.25619076643437</v>
      </c>
      <c r="L46" s="134">
        <f>(NPV(L$37,$H$12,$I$12,$J$12,$K$12,$L$12)+($L$12*(1+$C46)/(L$37-$C46))-WACC!$C$13+BS!$G$6)/IS!$G$42</f>
        <v>359.43407600840823</v>
      </c>
    </row>
    <row r="48" spans="2:12" ht="15.75" customHeight="1" x14ac:dyDescent="0.2">
      <c r="B48" s="199" t="s">
        <v>196</v>
      </c>
      <c r="C48" s="142" t="s">
        <v>194</v>
      </c>
      <c r="D48" s="143">
        <f t="shared" ref="D48:E48" si="5">E48-0.001</f>
        <v>8.1658432825133326E-2</v>
      </c>
      <c r="E48" s="143">
        <f t="shared" si="5"/>
        <v>8.2658432825133327E-2</v>
      </c>
      <c r="F48" s="143">
        <f>G48-0.001</f>
        <v>8.3658432825133328E-2</v>
      </c>
      <c r="G48" s="144">
        <f>_xlfn.XLOOKUP('Inputs &amp; Assumptions'!$D$6,'Inputs &amp; Assumptions'!$B$29:$B$32,'Inputs &amp; Assumptions'!$C$29:$C$32,'Inputs &amp; Assumptions'!$C$29)</f>
        <v>8.4658432825133328E-2</v>
      </c>
      <c r="H48" s="143">
        <f>G48+0.001</f>
        <v>8.5658432825133329E-2</v>
      </c>
      <c r="I48" s="143">
        <f t="shared" ref="I48:L48" si="6">H48+0.001</f>
        <v>8.665843282513333E-2</v>
      </c>
      <c r="J48" s="143">
        <f t="shared" si="6"/>
        <v>8.7658432825133331E-2</v>
      </c>
      <c r="K48" s="143">
        <f t="shared" si="6"/>
        <v>8.8658432825133332E-2</v>
      </c>
      <c r="L48" s="143">
        <f t="shared" si="6"/>
        <v>8.9658432825133333E-2</v>
      </c>
    </row>
    <row r="49" spans="2:12" ht="15.75" customHeight="1" x14ac:dyDescent="0.2">
      <c r="B49" s="199"/>
      <c r="C49" s="140">
        <f t="shared" ref="C49:C51" si="7">C50-0.05%</f>
        <v>2.7999999999999997E-2</v>
      </c>
      <c r="D49" s="64">
        <f ca="1">((NPV(D$37,$H$12,$I$12,$J$12,$K$12,$L$12)+($L$12*(1+$C49)/(D$37-$C49))-WACC!$C$13+BS!$G$6)/IS!$G$42)/$C$24-1</f>
        <v>0.32971144083792758</v>
      </c>
      <c r="E49" s="64">
        <f ca="1">((NPV(E$37,$H$12,$I$12,$J$12,$K$12,$L$12)+($L$12*(1+$C49)/(E$37-$C49))-WACC!$C$13+BS!$G$6)/IS!$G$42)/$C$24-1</f>
        <v>0.30733916807587547</v>
      </c>
      <c r="F49" s="64">
        <f ca="1">((NPV(F$37,$H$12,$I$12,$J$12,$K$12,$L$12)+($L$12*(1+$C49)/(F$37-$C49))-WACC!$C$13+BS!$G$6)/IS!$G$42)/$C$24-1</f>
        <v>0.28575413299258967</v>
      </c>
      <c r="G49" s="119">
        <f ca="1">((NPV(G$37,$H$12,$I$12,$J$12,$K$12,$L$12)+($L$12*(1+$C49)/(G$37-$C49))-WACC!$C$13+BS!$G$6)/IS!$G$42)/$C$24-1</f>
        <v>0.26491476332594632</v>
      </c>
      <c r="H49" s="64">
        <f ca="1">((NPV(H$37,$H$12,$I$12,$J$12,$K$12,$L$12)+($L$12*(1+$C49)/(H$37-$C49))-WACC!$C$13+BS!$G$6)/IS!$G$42)/$C$24-1</f>
        <v>0.2447823700254772</v>
      </c>
      <c r="I49" s="64">
        <f ca="1">((NPV(I$37,$H$12,$I$12,$J$12,$K$12,$L$12)+($L$12*(1+$C49)/(I$37-$C49))-WACC!$C$13+BS!$G$6)/IS!$G$42)/$C$24-1</f>
        <v>0.22532090149643236</v>
      </c>
      <c r="J49" s="64">
        <f ca="1">((NPV(J$37,$H$12,$I$12,$J$12,$K$12,$L$12)+($L$12*(1+$C49)/(J$37-$C49))-WACC!$C$13+BS!$G$6)/IS!$G$42)/$C$24-1</f>
        <v>0.20649672256008089</v>
      </c>
      <c r="K49" s="64">
        <f ca="1">((NPV(K$37,$H$12,$I$12,$J$12,$K$12,$L$12)+($L$12*(1+$C49)/(K$37-$C49))-WACC!$C$13+BS!$G$6)/IS!$G$42)/$C$24-1</f>
        <v>0.18827841527798528</v>
      </c>
      <c r="L49" s="64">
        <f ca="1">((NPV(L$37,$H$12,$I$12,$J$12,$K$12,$L$12)+($L$12*(1+$C49)/(L$37-$C49))-WACC!$C$13+BS!$G$6)/IS!$G$42)/$C$24-1</f>
        <v>0.17063659915806495</v>
      </c>
    </row>
    <row r="50" spans="2:12" ht="15.75" customHeight="1" x14ac:dyDescent="0.2">
      <c r="B50" s="199"/>
      <c r="C50" s="140">
        <f t="shared" si="7"/>
        <v>2.8499999999999998E-2</v>
      </c>
      <c r="D50" s="64">
        <f ca="1">((NPV(D$37,$H$12,$I$12,$J$12,$K$12,$L$12)+($L$12*(1+$C50)/(D$37-$C50))-WACC!$C$13+BS!$G$6)/IS!$G$42)/$C$24-1</f>
        <v>0.34152722180592154</v>
      </c>
      <c r="E50" s="64">
        <f ca="1">((NPV(E$37,$H$12,$I$12,$J$12,$K$12,$L$12)+($L$12*(1+$C50)/(E$37-$C50))-WACC!$C$13+BS!$G$6)/IS!$G$42)/$C$24-1</f>
        <v>0.31873512091669709</v>
      </c>
      <c r="F50" s="64">
        <f ca="1">((NPV(F$37,$H$12,$I$12,$J$12,$K$12,$L$12)+($L$12*(1+$C50)/(F$37-$C50))-WACC!$C$13+BS!$G$6)/IS!$G$42)/$C$24-1</f>
        <v>0.29675259521208419</v>
      </c>
      <c r="G50" s="119">
        <f ca="1">((NPV(G$37,$H$12,$I$12,$J$12,$K$12,$L$12)+($L$12*(1+$C50)/(G$37-$C50))-WACC!$C$13+BS!$G$6)/IS!$G$42)/$C$24-1</f>
        <v>0.27553650913728589</v>
      </c>
      <c r="H50" s="64">
        <f ca="1">((NPV(H$37,$H$12,$I$12,$J$12,$K$12,$L$12)+($L$12*(1+$C50)/(H$37-$C50))-WACC!$C$13+BS!$G$6)/IS!$G$42)/$C$24-1</f>
        <v>0.25504674497028512</v>
      </c>
      <c r="I50" s="64">
        <f ca="1">((NPV(I$37,$H$12,$I$12,$J$12,$K$12,$L$12)+($L$12*(1+$C50)/(I$37-$C50))-WACC!$C$13+BS!$G$6)/IS!$G$42)/$C$24-1</f>
        <v>0.23524594337944515</v>
      </c>
      <c r="J50" s="64">
        <f ca="1">((NPV(J$37,$H$12,$I$12,$J$12,$K$12,$L$12)+($L$12*(1+$C50)/(J$37-$C50))-WACC!$C$13+BS!$G$6)/IS!$G$42)/$C$24-1</f>
        <v>0.21609927029436204</v>
      </c>
      <c r="K50" s="64">
        <f ca="1">((NPV(K$37,$H$12,$I$12,$J$12,$K$12,$L$12)+($L$12*(1+$C50)/(K$37-$C50))-WACC!$C$13+BS!$G$6)/IS!$G$42)/$C$24-1</f>
        <v>0.19757420702816963</v>
      </c>
      <c r="L50" s="64">
        <f ca="1">((NPV(L$37,$H$12,$I$12,$J$12,$K$12,$L$12)+($L$12*(1+$C50)/(L$37-$C50))-WACC!$C$13+BS!$G$6)/IS!$G$42)/$C$24-1</f>
        <v>0.17964036099002034</v>
      </c>
    </row>
    <row r="51" spans="2:12" ht="15.75" customHeight="1" x14ac:dyDescent="0.2">
      <c r="B51" s="199"/>
      <c r="C51" s="140">
        <f t="shared" si="7"/>
        <v>2.8999999999999998E-2</v>
      </c>
      <c r="D51" s="64">
        <f ca="1">((NPV(D$37,$H$12,$I$12,$J$12,$K$12,$L$12)+($L$12*(1+$C51)/(D$37-$C51))-WACC!$C$13+BS!$G$6)/IS!$G$42)/$C$24-1</f>
        <v>0.3535673881255883</v>
      </c>
      <c r="E51" s="64">
        <f ca="1">((NPV(E$37,$H$12,$I$12,$J$12,$K$12,$L$12)+($L$12*(1+$C51)/(E$37-$C51))-WACC!$C$13+BS!$G$6)/IS!$G$42)/$C$24-1</f>
        <v>0.33034345328932457</v>
      </c>
      <c r="F51" s="64">
        <f ca="1">((NPV(F$37,$H$12,$I$12,$J$12,$K$12,$L$12)+($L$12*(1+$C51)/(F$37-$C51))-WACC!$C$13+BS!$G$6)/IS!$G$42)/$C$24-1</f>
        <v>0.3079522791214635</v>
      </c>
      <c r="G51" s="119">
        <f ca="1">((NPV(G$37,$H$12,$I$12,$J$12,$K$12,$L$12)+($L$12*(1+$C51)/(G$37-$C51))-WACC!$C$13+BS!$G$6)/IS!$G$42)/$C$24-1</f>
        <v>0.286349092981107</v>
      </c>
      <c r="H51" s="64">
        <f ca="1">((NPV(H$37,$H$12,$I$12,$J$12,$K$12,$L$12)+($L$12*(1+$C51)/(H$37-$C51))-WACC!$C$13+BS!$G$6)/IS!$G$42)/$C$24-1</f>
        <v>0.26549228226697963</v>
      </c>
      <c r="I51" s="64">
        <f ca="1">((NPV(I$37,$H$12,$I$12,$J$12,$K$12,$L$12)+($L$12*(1+$C51)/(I$37-$C51))-WACC!$C$13+BS!$G$6)/IS!$G$42)/$C$24-1</f>
        <v>0.24534312039337847</v>
      </c>
      <c r="J51" s="64">
        <f ca="1">((NPV(J$37,$H$12,$I$12,$J$12,$K$12,$L$12)+($L$12*(1+$C51)/(J$37-$C51))-WACC!$C$13+BS!$G$6)/IS!$G$42)/$C$24-1</f>
        <v>0.22586552079518141</v>
      </c>
      <c r="K51" s="64">
        <f ca="1">((NPV(K$37,$H$12,$I$12,$J$12,$K$12,$L$12)+($L$12*(1+$C51)/(K$37-$C51))-WACC!$C$13+BS!$G$6)/IS!$G$42)/$C$24-1</f>
        <v>0.20702581567313372</v>
      </c>
      <c r="L51" s="64">
        <f ca="1">((NPV(L$37,$H$12,$I$12,$J$12,$K$12,$L$12)+($L$12*(1+$C51)/(L$37-$C51))-WACC!$C$13+BS!$G$6)/IS!$G$42)/$C$24-1</f>
        <v>0.18879255662437755</v>
      </c>
    </row>
    <row r="52" spans="2:12" ht="15.75" customHeight="1" x14ac:dyDescent="0.2">
      <c r="B52" s="199"/>
      <c r="C52" s="140">
        <f>C53-0.05%</f>
        <v>2.9499999999999998E-2</v>
      </c>
      <c r="D52" s="64">
        <f ca="1">((NPV(D$37,$H$12,$I$12,$J$12,$K$12,$L$12)+($L$12*(1+$C52)/(D$37-$C52))-WACC!$C$13+BS!$G$6)/IS!$G$42)/$C$24-1</f>
        <v>0.36583839279041852</v>
      </c>
      <c r="E52" s="64">
        <f ca="1">((NPV(E$37,$H$12,$I$12,$J$12,$K$12,$L$12)+($L$12*(1+$C52)/(E$37-$C52))-WACC!$C$13+BS!$G$6)/IS!$G$42)/$C$24-1</f>
        <v>0.34217015802087403</v>
      </c>
      <c r="F52" s="64">
        <f ca="1">((NPV(F$37,$H$12,$I$12,$J$12,$K$12,$L$12)+($L$12*(1+$C52)/(F$37-$C52))-WACC!$C$13+BS!$G$6)/IS!$G$42)/$C$24-1</f>
        <v>0.31935875786084744</v>
      </c>
      <c r="G52" s="119">
        <f ca="1">((NPV(G$37,$H$12,$I$12,$J$12,$K$12,$L$12)+($L$12*(1+$C52)/(G$37-$C52))-WACC!$C$13+BS!$G$6)/IS!$G$42)/$C$24-1</f>
        <v>0.29735770458151967</v>
      </c>
      <c r="H52" s="64">
        <f ca="1">((NPV(H$37,$H$12,$I$12,$J$12,$K$12,$L$12)+($L$12*(1+$C52)/(H$37-$C52))-WACC!$C$13+BS!$G$6)/IS!$G$42)/$C$24-1</f>
        <v>0.27612382078862341</v>
      </c>
      <c r="I52" s="64">
        <f ca="1">((NPV(I$37,$H$12,$I$12,$J$12,$K$12,$L$12)+($L$12*(1+$C52)/(I$37-$C52))-WACC!$C$13+BS!$G$6)/IS!$G$42)/$C$24-1</f>
        <v>0.25561694985411409</v>
      </c>
      <c r="J52" s="64">
        <f ca="1">((NPV(J$37,$H$12,$I$12,$J$12,$K$12,$L$12)+($L$12*(1+$C52)/(J$37-$C52))-WACC!$C$13+BS!$G$6)/IS!$G$42)/$C$24-1</f>
        <v>0.23579969622152652</v>
      </c>
      <c r="K52" s="64">
        <f ca="1">((NPV(K$37,$H$12,$I$12,$J$12,$K$12,$L$12)+($L$12*(1+$C52)/(K$37-$C52))-WACC!$C$13+BS!$G$6)/IS!$G$42)/$C$24-1</f>
        <v>0.21663719205016219</v>
      </c>
      <c r="L52" s="64">
        <f ca="1">((NPV(L$37,$H$12,$I$12,$J$12,$K$12,$L$12)+($L$12*(1+$C52)/(L$37-$C52))-WACC!$C$13+BS!$G$6)/IS!$G$42)/$C$24-1</f>
        <v>0.1980968871333415</v>
      </c>
    </row>
    <row r="53" spans="2:12" ht="15.75" customHeight="1" x14ac:dyDescent="0.2">
      <c r="B53" s="199"/>
      <c r="C53" s="141">
        <f>'Inputs &amp; Assumptions'!$D$7</f>
        <v>0.03</v>
      </c>
      <c r="D53" s="119">
        <f ca="1">((NPV(D$37,$H$12,$I$12,$J$12,$K$12,$L$12)+($L$12*(1+$C53)/(D$37-$C53))-WACC!$C$13+BS!$G$6)/IS!$G$42)/$C$24-1</f>
        <v>0.37834693862701352</v>
      </c>
      <c r="E53" s="119">
        <f ca="1">((NPV(E$37,$H$12,$I$12,$J$12,$K$12,$L$12)+($L$12*(1+$C53)/(E$37-$C53))-WACC!$C$13+BS!$G$6)/IS!$G$42)/$C$24-1</f>
        <v>0.35422145554976003</v>
      </c>
      <c r="F53" s="119">
        <f ca="1">((NPV(F$37,$H$12,$I$12,$J$12,$K$12,$L$12)+($L$12*(1+$C53)/(F$37-$C53))-WACC!$C$13+BS!$G$6)/IS!$G$42)/$C$24-1</f>
        <v>0.33097781229688872</v>
      </c>
      <c r="G53" s="119">
        <f ca="1">((NPV(G$37,$H$12,$I$12,$J$12,$K$12,$L$12)+($L$12*(1+$C53)/(G$37-$C53))-WACC!$C$13+BS!$G$6)/IS!$G$42)/$C$24-1</f>
        <v>0.30856772355919193</v>
      </c>
      <c r="H53" s="119">
        <f ca="1">((NPV(H$37,$H$12,$I$12,$J$12,$K$12,$L$12)+($L$12*(1+$C53)/(H$37-$C53))-WACC!$C$13+BS!$G$6)/IS!$G$42)/$C$24-1</f>
        <v>0.28694637328572425</v>
      </c>
      <c r="I53" s="119">
        <f ca="1">((NPV(I$37,$H$12,$I$12,$J$12,$K$12,$L$12)+($L$12*(1+$C53)/(I$37-$C53))-WACC!$C$13+BS!$G$6)/IS!$G$42)/$C$24-1</f>
        <v>0.26607210853538121</v>
      </c>
      <c r="J53" s="119">
        <f ca="1">((NPV(J$37,$H$12,$I$12,$J$12,$K$12,$L$12)+($L$12*(1+$C53)/(J$37-$C53))-WACC!$C$13+BS!$G$6)/IS!$G$42)/$C$24-1</f>
        <v>0.24590616518655395</v>
      </c>
      <c r="K53" s="119">
        <f ca="1">((NPV(K$37,$H$12,$I$12,$J$12,$K$12,$L$12)+($L$12*(1+$C53)/(K$37-$C53))-WACC!$C$13+BS!$G$6)/IS!$G$42)/$C$24-1</f>
        <v>0.2264124217030814</v>
      </c>
      <c r="L53" s="119">
        <f ca="1">((NPV(L$37,$H$12,$I$12,$J$12,$K$12,$L$12)+($L$12*(1+$C53)/(L$37-$C53))-WACC!$C$13+BS!$G$6)/IS!$G$42)/$C$24-1</f>
        <v>0.20755717766452397</v>
      </c>
    </row>
    <row r="54" spans="2:12" ht="15.75" customHeight="1" x14ac:dyDescent="0.2">
      <c r="B54" s="199"/>
      <c r="C54" s="140">
        <f>C53+0.05%</f>
        <v>3.0499999999999999E-2</v>
      </c>
      <c r="D54" s="64">
        <f ca="1">((NPV(D$37,$H$12,$I$12,$J$12,$K$12,$L$12)+($L$12*(1+$C54)/(D$37-$C54))-WACC!$C$13+BS!$G$6)/IS!$G$42)/$C$24-1</f>
        <v>0.39109999050388056</v>
      </c>
      <c r="E54" s="64">
        <f ca="1">((NPV(E$37,$H$12,$I$12,$J$12,$K$12,$L$12)+($L$12*(1+$C54)/(E$37-$C54))-WACC!$C$13+BS!$G$6)/IS!$G$42)/$C$24-1</f>
        <v>0.36650380483530598</v>
      </c>
      <c r="F54" s="64">
        <f ca="1">((NPV(F$37,$H$12,$I$12,$J$12,$K$12,$L$12)+($L$12*(1+$C54)/(F$37-$C54))-WACC!$C$13+BS!$G$6)/IS!$G$42)/$C$24-1</f>
        <v>0.34281544079199389</v>
      </c>
      <c r="G54" s="119">
        <f ca="1">((NPV(G$37,$H$12,$I$12,$J$12,$K$12,$L$12)+($L$12*(1+$C54)/(G$37-$C54))-WACC!$C$13+BS!$G$6)/IS!$G$42)/$C$24-1</f>
        <v>0.31998472819713664</v>
      </c>
      <c r="H54" s="64">
        <f ca="1">((NPV(H$37,$H$12,$I$12,$J$12,$K$12,$L$12)+($L$12*(1+$C54)/(H$37-$C54))-WACC!$C$13+BS!$G$6)/IS!$G$42)/$C$24-1</f>
        <v>0.2979651342670544</v>
      </c>
      <c r="I54" s="64">
        <f ca="1">((NPV(I$37,$H$12,$I$12,$J$12,$K$12,$L$12)+($L$12*(1+$C54)/(I$37-$C54))-WACC!$C$13+BS!$G$6)/IS!$G$42)/$C$24-1</f>
        <v>0.27671343976732854</v>
      </c>
      <c r="J54" s="64">
        <f ca="1">((NPV(J$37,$H$12,$I$12,$J$12,$K$12,$L$12)+($L$12*(1+$C54)/(J$37-$C54))-WACC!$C$13+BS!$G$6)/IS!$G$42)/$C$24-1</f>
        <v>0.25618944916321662</v>
      </c>
      <c r="K54" s="64">
        <f ca="1">((NPV(K$37,$H$12,$I$12,$J$12,$K$12,$L$12)+($L$12*(1+$C54)/(K$37-$C54))-WACC!$C$13+BS!$G$6)/IS!$G$42)/$C$24-1</f>
        <v>0.2363557306727575</v>
      </c>
      <c r="L54" s="64">
        <f ca="1">((NPV(L$37,$H$12,$I$12,$J$12,$K$12,$L$12)+($L$12*(1+$C54)/(L$37-$C54))-WACC!$C$13+BS!$G$6)/IS!$G$42)/$C$24-1</f>
        <v>0.21717738268429909</v>
      </c>
    </row>
    <row r="55" spans="2:12" ht="15.75" customHeight="1" x14ac:dyDescent="0.2">
      <c r="B55" s="199"/>
      <c r="C55" s="140">
        <f t="shared" ref="C55:C57" si="8">C54+0.05%</f>
        <v>3.1E-2</v>
      </c>
      <c r="D55" s="64">
        <f ca="1">((NPV(D$37,$H$12,$I$12,$J$12,$K$12,$L$12)+($L$12*(1+$C55)/(D$37-$C55))-WACC!$C$13+BS!$G$6)/IS!$G$42)/$C$24-1</f>
        <v>0.40410478826323226</v>
      </c>
      <c r="E55" s="64">
        <f ca="1">((NPV(E$37,$H$12,$I$12,$J$12,$K$12,$L$12)+($L$12*(1+$C55)/(E$37-$C55))-WACC!$C$13+BS!$G$6)/IS!$G$42)/$C$24-1</f>
        <v>0.37902391490091913</v>
      </c>
      <c r="F55" s="64">
        <f ca="1">((NPV(F$37,$H$12,$I$12,$J$12,$K$12,$L$12)+($L$12*(1+$C55)/(F$37-$C55))-WACC!$C$13+BS!$G$6)/IS!$G$42)/$C$24-1</f>
        <v>0.35487786953009914</v>
      </c>
      <c r="G55" s="119">
        <f ca="1">((NPV(G$37,$H$12,$I$12,$J$12,$K$12,$L$12)+($L$12*(1+$C55)/(G$37-$C55))-WACC!$C$13+BS!$G$6)/IS!$G$42)/$C$24-1</f>
        <v>0.33161450469659237</v>
      </c>
      <c r="H55" s="64">
        <f ca="1">((NPV(H$37,$H$12,$I$12,$J$12,$K$12,$L$12)+($L$12*(1+$C55)/(H$37-$C55))-WACC!$C$13+BS!$G$6)/IS!$G$42)/$C$24-1</f>
        <v>0.3091854883130194</v>
      </c>
      <c r="I55" s="64">
        <f ca="1">((NPV(I$37,$H$12,$I$12,$J$12,$K$12,$L$12)+($L$12*(1+$C55)/(I$37-$C55))-WACC!$C$13+BS!$G$6)/IS!$G$42)/$C$24-1</f>
        <v>0.28754596091770934</v>
      </c>
      <c r="J55" s="64">
        <f ca="1">((NPV(J$37,$H$12,$I$12,$J$12,$K$12,$L$12)+($L$12*(1+$C55)/(J$37-$C55))-WACC!$C$13+BS!$G$6)/IS!$G$42)/$C$24-1</f>
        <v>0.26665422922905635</v>
      </c>
      <c r="K55" s="64">
        <f ca="1">((NPV(K$37,$H$12,$I$12,$J$12,$K$12,$L$12)+($L$12*(1+$C55)/(K$37-$C55))-WACC!$C$13+BS!$G$6)/IS!$G$42)/$C$24-1</f>
        <v>0.24647149158887927</v>
      </c>
      <c r="L55" s="64">
        <f ca="1">((NPV(L$37,$H$12,$I$12,$J$12,$K$12,$L$12)+($L$12*(1+$C55)/(L$37-$C55))-WACC!$C$13+BS!$G$6)/IS!$G$42)/$C$24-1</f>
        <v>0.22696159148931816</v>
      </c>
    </row>
    <row r="56" spans="2:12" ht="15.75" customHeight="1" x14ac:dyDescent="0.2">
      <c r="B56" s="199"/>
      <c r="C56" s="140">
        <f t="shared" si="8"/>
        <v>3.15E-2</v>
      </c>
      <c r="D56" s="64">
        <f ca="1">((NPV(D$37,$H$12,$I$12,$J$12,$K$12,$L$12)+($L$12*(1+$C56)/(D$37-$C56))-WACC!$C$13+BS!$G$6)/IS!$G$42)/$C$24-1</f>
        <v>0.41736886042624644</v>
      </c>
      <c r="E56" s="64">
        <f ca="1">((NPV(E$37,$H$12,$I$12,$J$12,$K$12,$L$12)+($L$12*(1+$C56)/(E$37-$C56))-WACC!$C$13+BS!$G$6)/IS!$G$42)/$C$24-1</f>
        <v>0.39178875705417138</v>
      </c>
      <c r="F56" s="64">
        <f ca="1">((NPV(F$37,$H$12,$I$12,$J$12,$K$12,$L$12)+($L$12*(1+$C56)/(F$37-$C56))-WACC!$C$13+BS!$G$6)/IS!$G$42)/$C$24-1</f>
        <v>0.36717156343636148</v>
      </c>
      <c r="G56" s="119">
        <f ca="1">((NPV(G$37,$H$12,$I$12,$J$12,$K$12,$L$12)+($L$12*(1+$C56)/(G$37-$C56))-WACC!$C$13+BS!$G$6)/IS!$G$42)/$C$24-1</f>
        <v>0.34346305695525303</v>
      </c>
      <c r="H56" s="64">
        <f ca="1">((NPV(H$37,$H$12,$I$12,$J$12,$K$12,$L$12)+($L$12*(1+$C56)/(H$37-$C56))-WACC!$C$13+BS!$G$6)/IS!$G$42)/$C$24-1</f>
        <v>0.32061301884952642</v>
      </c>
      <c r="I56" s="64">
        <f ca="1">((NPV(I$37,$H$12,$I$12,$J$12,$K$12,$L$12)+($L$12*(1+$C56)/(I$37-$C56))-WACC!$C$13+BS!$G$6)/IS!$G$42)/$C$24-1</f>
        <v>0.29857487127995763</v>
      </c>
      <c r="J56" s="64">
        <f ca="1">((NPV(J$37,$H$12,$I$12,$J$12,$K$12,$L$12)+($L$12*(1+$C56)/(J$37-$C56))-WACC!$C$13+BS!$G$6)/IS!$G$42)/$C$24-1</f>
        <v>0.27730535317130789</v>
      </c>
      <c r="K56" s="64">
        <f ca="1">((NPV(K$37,$H$12,$I$12,$J$12,$K$12,$L$12)+($L$12*(1+$C56)/(K$37-$C56))-WACC!$C$13+BS!$G$6)/IS!$G$42)/$C$24-1</f>
        <v>0.25676423008146942</v>
      </c>
      <c r="L56" s="64">
        <f ca="1">((NPV(L$37,$H$12,$I$12,$J$12,$K$12,$L$12)+($L$12*(1+$C56)/(L$37-$C56))-WACC!$C$13+BS!$G$6)/IS!$G$42)/$C$24-1</f>
        <v>0.23691403400232658</v>
      </c>
    </row>
    <row r="57" spans="2:12" ht="15.75" customHeight="1" x14ac:dyDescent="0.2">
      <c r="B57" s="199"/>
      <c r="C57" s="140">
        <f t="shared" si="8"/>
        <v>3.2000000000000001E-2</v>
      </c>
      <c r="D57" s="64">
        <f ca="1">((NPV(D$37,$H$12,$I$12,$J$12,$K$12,$L$12)+($L$12*(1+$C57)/(D$37-$C57))-WACC!$C$13+BS!$G$6)/IS!$G$42)/$C$24-1</f>
        <v>0.43090003872629268</v>
      </c>
      <c r="E57" s="64">
        <f ca="1">((NPV(E$37,$H$12,$I$12,$J$12,$K$12,$L$12)+($L$12*(1+$C57)/(E$37-$C57))-WACC!$C$13+BS!$G$6)/IS!$G$42)/$C$24-1</f>
        <v>0.40480557783055393</v>
      </c>
      <c r="F57" s="64">
        <f ca="1">((NPV(F$37,$H$12,$I$12,$J$12,$K$12,$L$12)+($L$12*(1+$C57)/(F$37-$C57))-WACC!$C$13+BS!$G$6)/IS!$G$42)/$C$24-1</f>
        <v>0.37970323773099257</v>
      </c>
      <c r="G57" s="119">
        <f ca="1">((NPV(G$37,$H$12,$I$12,$J$12,$K$12,$L$12)+($L$12*(1+$C57)/(G$37-$C57))-WACC!$C$13+BS!$G$6)/IS!$G$42)/$C$24-1</f>
        <v>0.35553661690257798</v>
      </c>
      <c r="H57" s="64">
        <f ca="1">((NPV(H$37,$H$12,$I$12,$J$12,$K$12,$L$12)+($L$12*(1+$C57)/(H$37-$C57))-WACC!$C$13+BS!$G$6)/IS!$G$42)/$C$24-1</f>
        <v>0.33225351741239617</v>
      </c>
      <c r="I57" s="64">
        <f ca="1">((NPV(I$37,$H$12,$I$12,$J$12,$K$12,$L$12)+($L$12*(1+$C57)/(I$37-$C57))-WACC!$C$13+BS!$G$6)/IS!$G$42)/$C$24-1</f>
        <v>0.30980556039421514</v>
      </c>
      <c r="J57" s="64">
        <f ca="1">((NPV(J$37,$H$12,$I$12,$J$12,$K$12,$L$12)+($L$12*(1+$C57)/(J$37-$C57))-WACC!$C$13+BS!$G$6)/IS!$G$42)/$C$24-1</f>
        <v>0.28814784297496843</v>
      </c>
      <c r="K57" s="64">
        <f ca="1">((NPV(K$37,$H$12,$I$12,$J$12,$K$12,$L$12)+($L$12*(1+$C57)/(K$37-$C57))-WACC!$C$13+BS!$G$6)/IS!$G$42)/$C$24-1</f>
        <v>0.26723863153188199</v>
      </c>
      <c r="L57" s="64">
        <f ca="1">((NPV(L$37,$H$12,$I$12,$J$12,$K$12,$L$12)+($L$12*(1+$C57)/(L$37-$C57))-WACC!$C$13+BS!$G$6)/IS!$G$42)/$C$24-1</f>
        <v>0.24703908686954246</v>
      </c>
    </row>
  </sheetData>
  <mergeCells count="5">
    <mergeCell ref="B28:L28"/>
    <mergeCell ref="B37:B46"/>
    <mergeCell ref="B48:B57"/>
    <mergeCell ref="B30:B35"/>
    <mergeCell ref="H30:I35"/>
  </mergeCells>
  <conditionalFormatting sqref="D38:L46">
    <cfRule type="colorScale" priority="4">
      <colorScale>
        <cfvo type="min"/>
        <cfvo type="percentile" val="50"/>
        <cfvo type="max"/>
        <color rgb="FFF8696B"/>
        <color rgb="FFFFEB84"/>
        <color rgb="FF63BE7B"/>
      </colorScale>
    </cfRule>
  </conditionalFormatting>
  <conditionalFormatting sqref="D49:L57">
    <cfRule type="colorScale" priority="5">
      <colorScale>
        <cfvo type="min"/>
        <cfvo type="percentile" val="50"/>
        <cfvo type="max"/>
        <color rgb="FFF8696B"/>
        <color rgb="FFFFEB84"/>
        <color rgb="FF63BE7B"/>
      </colorScale>
    </cfRule>
  </conditionalFormatting>
  <pageMargins left="0.7" right="0.7" top="0.75" bottom="0.75" header="0.3" footer="0.3"/>
  <ignoredErrors>
    <ignoredError sqref="C9:G9" formulaRange="1"/>
    <ignoredError sqref="E33 L33" formula="1"/>
  </ignoredErrors>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7B1B6-8F8C-468B-BFA8-47194169B74B}">
  <sheetPr>
    <tabColor rgb="FF7030A0"/>
  </sheetPr>
  <dimension ref="B2:E19"/>
  <sheetViews>
    <sheetView showGridLines="0" zoomScale="173" workbookViewId="0"/>
  </sheetViews>
  <sheetFormatPr defaultRowHeight="12.75" x14ac:dyDescent="0.2"/>
  <cols>
    <col min="1" max="1" width="4.42578125" customWidth="1"/>
    <col min="2" max="2" width="21.140625" bestFit="1" customWidth="1"/>
    <col min="3" max="3" width="11.7109375" customWidth="1"/>
  </cols>
  <sheetData>
    <row r="2" spans="2:3" x14ac:dyDescent="0.2">
      <c r="B2" s="97" t="s">
        <v>162</v>
      </c>
      <c r="C2" s="114">
        <f>(C4*C8/SUM(C13,C10,C4))+(C10*C11/SUM(C13,C10,C4))+(C13*C15/SUM(C13,C10,C4))</f>
        <v>8.4658432825133328E-2</v>
      </c>
    </row>
    <row r="4" spans="2:3" x14ac:dyDescent="0.2">
      <c r="B4" s="104" t="s">
        <v>168</v>
      </c>
      <c r="C4" s="105">
        <f>BS!G42</f>
        <v>2311271</v>
      </c>
    </row>
    <row r="5" spans="2:3" x14ac:dyDescent="0.2">
      <c r="B5" s="106" t="s">
        <v>170</v>
      </c>
      <c r="C5" s="107">
        <f>'Inputs &amp; Assumptions'!$D$8</f>
        <v>4.02E-2</v>
      </c>
    </row>
    <row r="6" spans="2:3" x14ac:dyDescent="0.2">
      <c r="B6" s="106" t="s">
        <v>171</v>
      </c>
      <c r="C6" s="107">
        <v>-9.1000000000000004E-3</v>
      </c>
    </row>
    <row r="7" spans="2:3" x14ac:dyDescent="0.2">
      <c r="B7" s="106" t="s">
        <v>172</v>
      </c>
      <c r="C7" s="108">
        <v>1.7</v>
      </c>
    </row>
    <row r="8" spans="2:3" x14ac:dyDescent="0.2">
      <c r="B8" s="109" t="s">
        <v>173</v>
      </c>
      <c r="C8" s="110">
        <f>C5+C7*(C6+C5)</f>
        <v>9.307E-2</v>
      </c>
    </row>
    <row r="10" spans="2:3" x14ac:dyDescent="0.2">
      <c r="B10" s="111" t="s">
        <v>174</v>
      </c>
      <c r="C10" s="111">
        <v>0</v>
      </c>
    </row>
    <row r="11" spans="2:3" x14ac:dyDescent="0.2">
      <c r="B11" s="112" t="s">
        <v>175</v>
      </c>
      <c r="C11" s="113">
        <v>0</v>
      </c>
    </row>
    <row r="13" spans="2:3" x14ac:dyDescent="0.2">
      <c r="B13" s="98" t="s">
        <v>115</v>
      </c>
      <c r="C13" s="99">
        <f>SUM(BS!G25:G26,BS!G30:G31)</f>
        <v>335128</v>
      </c>
    </row>
    <row r="14" spans="2:3" x14ac:dyDescent="0.2">
      <c r="B14" s="100" t="s">
        <v>124</v>
      </c>
      <c r="C14" s="101">
        <f>IS!G28</f>
        <v>8930</v>
      </c>
    </row>
    <row r="15" spans="2:3" x14ac:dyDescent="0.2">
      <c r="B15" s="102" t="s">
        <v>169</v>
      </c>
      <c r="C15" s="103">
        <f>C14/C13</f>
        <v>2.6646535055262467E-2</v>
      </c>
    </row>
    <row r="19" spans="5:5" x14ac:dyDescent="0.2">
      <c r="E19" s="2"/>
    </row>
  </sheetData>
  <pageMargins left="0.7" right="0.7" top="0.75" bottom="0.75" header="0.3" footer="0.3"/>
  <ignoredErrors>
    <ignoredError sqref="C13" formulaRange="1"/>
  </ignoredErrors>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37035-212E-4D55-8069-3F629C613288}">
  <sheetPr>
    <tabColor rgb="FF002060"/>
  </sheetPr>
  <dimension ref="B2:Q13"/>
  <sheetViews>
    <sheetView showGridLines="0" zoomScale="162" workbookViewId="0">
      <selection activeCell="D13" sqref="D13"/>
    </sheetView>
  </sheetViews>
  <sheetFormatPr defaultRowHeight="12.75" x14ac:dyDescent="0.2"/>
  <cols>
    <col min="1" max="1" width="3.42578125" customWidth="1"/>
    <col min="2" max="2" width="24.42578125" customWidth="1"/>
    <col min="3" max="3" width="2.140625" customWidth="1"/>
    <col min="6" max="6" width="9.140625" customWidth="1"/>
    <col min="7" max="7" width="9" customWidth="1"/>
    <col min="8" max="8" width="2.140625" customWidth="1"/>
    <col min="12" max="12" width="13" customWidth="1"/>
    <col min="13" max="13" width="9.140625" customWidth="1"/>
  </cols>
  <sheetData>
    <row r="2" spans="2:17" x14ac:dyDescent="0.2">
      <c r="B2" s="178"/>
      <c r="C2" s="178"/>
      <c r="D2" s="200" t="s">
        <v>250</v>
      </c>
      <c r="E2" s="200"/>
      <c r="F2" s="200"/>
      <c r="G2" s="200"/>
      <c r="H2" s="176"/>
      <c r="I2" s="200" t="s">
        <v>248</v>
      </c>
      <c r="J2" s="200"/>
      <c r="K2" s="200"/>
      <c r="L2" s="200"/>
      <c r="M2" s="200" t="s">
        <v>266</v>
      </c>
      <c r="N2" s="200"/>
      <c r="O2" s="200"/>
      <c r="P2" s="200"/>
      <c r="Q2" s="200"/>
    </row>
    <row r="3" spans="2:17" x14ac:dyDescent="0.2">
      <c r="B3" s="176" t="s">
        <v>252</v>
      </c>
      <c r="C3" s="176"/>
      <c r="D3" s="177" t="s">
        <v>231</v>
      </c>
      <c r="E3" s="177" t="s">
        <v>229</v>
      </c>
      <c r="F3" s="177" t="s">
        <v>230</v>
      </c>
      <c r="G3" s="177" t="s">
        <v>251</v>
      </c>
      <c r="H3" s="177"/>
      <c r="I3" s="177" t="s">
        <v>253</v>
      </c>
      <c r="J3" s="177" t="s">
        <v>198</v>
      </c>
      <c r="K3" s="177" t="s">
        <v>264</v>
      </c>
      <c r="L3" s="177" t="s">
        <v>267</v>
      </c>
      <c r="M3" s="177" t="s">
        <v>265</v>
      </c>
      <c r="N3" s="177" t="s">
        <v>249</v>
      </c>
      <c r="O3" s="177" t="s">
        <v>127</v>
      </c>
      <c r="P3" s="177" t="s">
        <v>128</v>
      </c>
      <c r="Q3" s="177" t="s">
        <v>47</v>
      </c>
    </row>
    <row r="4" spans="2:17" x14ac:dyDescent="0.2">
      <c r="B4" t="s">
        <v>255</v>
      </c>
      <c r="D4" s="179">
        <f t="shared" ref="D4:D9" si="0">M4/N4</f>
        <v>5.111876075731498</v>
      </c>
      <c r="E4" s="179">
        <f t="shared" ref="E4:E9" si="1">M4/O4</f>
        <v>15.631578947368421</v>
      </c>
      <c r="F4" s="179">
        <f t="shared" ref="F4:F9" si="2">L4/Q4</f>
        <v>24.725882352941177</v>
      </c>
      <c r="G4" s="179">
        <f t="shared" ref="G4:G9" si="3">L4/N4</f>
        <v>5.0643373493975909</v>
      </c>
      <c r="H4" s="180"/>
      <c r="I4" s="67" t="s">
        <v>254</v>
      </c>
      <c r="J4" s="67">
        <v>140</v>
      </c>
      <c r="K4" s="180">
        <v>210.17</v>
      </c>
      <c r="L4" s="180">
        <f>K4*J4/1000</f>
        <v>29.4238</v>
      </c>
      <c r="M4" s="180">
        <v>29.7</v>
      </c>
      <c r="N4" s="180">
        <v>5.81</v>
      </c>
      <c r="O4" s="180">
        <v>1.9</v>
      </c>
      <c r="P4" s="180">
        <v>1.56</v>
      </c>
      <c r="Q4" s="180">
        <v>1.19</v>
      </c>
    </row>
    <row r="5" spans="2:17" x14ac:dyDescent="0.2">
      <c r="B5" t="s">
        <v>257</v>
      </c>
      <c r="D5" s="179">
        <f t="shared" si="0"/>
        <v>2.3395291201982649</v>
      </c>
      <c r="E5" s="179">
        <f t="shared" si="1"/>
        <v>15.865546218487395</v>
      </c>
      <c r="F5" s="179">
        <f t="shared" si="2"/>
        <v>43.739428571428576</v>
      </c>
      <c r="G5" s="179">
        <f t="shared" si="3"/>
        <v>1.8970012391573732</v>
      </c>
      <c r="H5" s="180"/>
      <c r="I5" s="67" t="s">
        <v>256</v>
      </c>
      <c r="J5" s="67">
        <v>130</v>
      </c>
      <c r="K5" s="180">
        <v>117.76</v>
      </c>
      <c r="L5" s="180">
        <f t="shared" ref="L5:L9" si="4">K5*J5/1000</f>
        <v>15.308800000000002</v>
      </c>
      <c r="M5" s="180">
        <v>18.88</v>
      </c>
      <c r="N5" s="180">
        <v>8.07</v>
      </c>
      <c r="O5" s="180">
        <v>1.19</v>
      </c>
      <c r="P5" s="180">
        <v>0.43</v>
      </c>
      <c r="Q5" s="180">
        <v>0.35</v>
      </c>
    </row>
    <row r="6" spans="2:17" x14ac:dyDescent="0.2">
      <c r="B6" t="s">
        <v>258</v>
      </c>
      <c r="D6" s="179">
        <f t="shared" si="0"/>
        <v>0.50717703349282306</v>
      </c>
      <c r="E6" s="179">
        <f t="shared" si="1"/>
        <v>5.5789473684210531</v>
      </c>
      <c r="F6" s="179">
        <f t="shared" si="2"/>
        <v>9.6268235294117641</v>
      </c>
      <c r="G6" s="179">
        <f t="shared" si="3"/>
        <v>0.39152153110047849</v>
      </c>
      <c r="H6" s="180"/>
      <c r="I6" s="67" t="s">
        <v>259</v>
      </c>
      <c r="J6" s="67">
        <v>72</v>
      </c>
      <c r="K6" s="180">
        <v>22.73</v>
      </c>
      <c r="L6" s="180">
        <f t="shared" si="4"/>
        <v>1.63656</v>
      </c>
      <c r="M6" s="180">
        <v>2.12</v>
      </c>
      <c r="N6" s="180">
        <v>4.18</v>
      </c>
      <c r="O6" s="180">
        <v>0.38</v>
      </c>
      <c r="P6" s="180">
        <v>0.23</v>
      </c>
      <c r="Q6" s="180">
        <v>0.17</v>
      </c>
    </row>
    <row r="7" spans="2:17" x14ac:dyDescent="0.2">
      <c r="B7" t="s">
        <v>269</v>
      </c>
      <c r="D7" s="179">
        <f t="shared" si="0"/>
        <v>1.2672064777327936</v>
      </c>
      <c r="E7" s="179">
        <f t="shared" si="1"/>
        <v>8.4594594594594597</v>
      </c>
      <c r="F7" s="179">
        <f t="shared" si="2"/>
        <v>60.862500000000004</v>
      </c>
      <c r="G7" s="179">
        <f t="shared" si="3"/>
        <v>0.98562753036437256</v>
      </c>
      <c r="H7" s="180"/>
      <c r="I7" s="67" t="s">
        <v>270</v>
      </c>
      <c r="J7" s="67">
        <v>45</v>
      </c>
      <c r="K7" s="180">
        <v>162.30000000000001</v>
      </c>
      <c r="L7" s="180">
        <f t="shared" si="4"/>
        <v>7.3035000000000005</v>
      </c>
      <c r="M7" s="180">
        <v>9.39</v>
      </c>
      <c r="N7" s="180">
        <v>7.41</v>
      </c>
      <c r="O7" s="180">
        <v>1.1100000000000001</v>
      </c>
      <c r="P7" s="180">
        <v>0.32</v>
      </c>
      <c r="Q7" s="180">
        <v>0.12</v>
      </c>
    </row>
    <row r="8" spans="2:17" x14ac:dyDescent="0.2">
      <c r="B8" t="s">
        <v>260</v>
      </c>
      <c r="D8" s="179">
        <f t="shared" si="0"/>
        <v>1.7566666666666666</v>
      </c>
      <c r="E8" s="179">
        <f t="shared" si="1"/>
        <v>11.333333333333332</v>
      </c>
      <c r="F8" s="179">
        <f t="shared" si="2"/>
        <v>25.182733333333331</v>
      </c>
      <c r="G8" s="179">
        <f t="shared" si="3"/>
        <v>1.2591366666666666</v>
      </c>
      <c r="H8" s="180"/>
      <c r="I8" s="67" t="s">
        <v>261</v>
      </c>
      <c r="J8" s="67">
        <v>91</v>
      </c>
      <c r="K8" s="180">
        <v>83.02</v>
      </c>
      <c r="L8" s="180">
        <f t="shared" si="4"/>
        <v>7.5548199999999994</v>
      </c>
      <c r="M8" s="180">
        <v>10.54</v>
      </c>
      <c r="N8" s="180">
        <v>6</v>
      </c>
      <c r="O8" s="180">
        <v>0.93</v>
      </c>
      <c r="P8" s="180">
        <v>0.51</v>
      </c>
      <c r="Q8" s="180">
        <v>0.3</v>
      </c>
    </row>
    <row r="9" spans="2:17" x14ac:dyDescent="0.2">
      <c r="B9" s="182" t="s">
        <v>262</v>
      </c>
      <c r="C9" s="182"/>
      <c r="D9" s="183">
        <f t="shared" si="0"/>
        <v>2.533807260287547</v>
      </c>
      <c r="E9" s="183">
        <f t="shared" si="1"/>
        <v>11.745754877106311</v>
      </c>
      <c r="F9" s="183">
        <f t="shared" si="2"/>
        <v>21.615411597365114</v>
      </c>
      <c r="G9" s="183">
        <f t="shared" si="3"/>
        <v>2.438767071123944</v>
      </c>
      <c r="H9" s="184"/>
      <c r="I9" s="185" t="s">
        <v>263</v>
      </c>
      <c r="J9" s="185">
        <v>292</v>
      </c>
      <c r="K9" s="184">
        <f>IS!G42/1000</f>
        <v>26.802</v>
      </c>
      <c r="L9" s="184">
        <f t="shared" si="4"/>
        <v>7.8261840000000005</v>
      </c>
      <c r="M9" s="184">
        <f>L9+(SUM(BS!G26:G27,BS!G30:G31)-BS!G6)/1000000</f>
        <v>8.1311750000000007</v>
      </c>
      <c r="N9" s="184">
        <f>IS!G5/1000000</f>
        <v>3.2090740000000002</v>
      </c>
      <c r="O9" s="184">
        <f>IS!G38/1000000</f>
        <v>0.69226500000000002</v>
      </c>
      <c r="P9" s="184">
        <f>IS!G25/1000000</f>
        <v>0.48215999999999998</v>
      </c>
      <c r="Q9" s="184">
        <f>IS!G36/1000000</f>
        <v>0.36206500000000003</v>
      </c>
    </row>
    <row r="11" spans="2:17" x14ac:dyDescent="0.2">
      <c r="B11" s="186" t="s">
        <v>139</v>
      </c>
      <c r="C11" s="187"/>
      <c r="D11" s="188">
        <f>AVERAGE(D4:D9)</f>
        <v>2.2527104390182653</v>
      </c>
      <c r="E11" s="188">
        <f>AVERAGE(E4:E9)</f>
        <v>11.435770034029327</v>
      </c>
      <c r="F11" s="188">
        <f>AVERAGE(F4:F9)</f>
        <v>30.958796564079993</v>
      </c>
      <c r="G11" s="188">
        <f>AVERAGE(G4:G9)</f>
        <v>2.0060652313017378</v>
      </c>
      <c r="H11" s="181"/>
      <c r="I11" s="181"/>
      <c r="J11" s="181"/>
      <c r="K11" s="181"/>
      <c r="L11" s="181"/>
      <c r="M11" s="181"/>
      <c r="N11" s="181"/>
      <c r="O11" s="181"/>
      <c r="P11" s="181"/>
      <c r="Q11" s="181"/>
    </row>
    <row r="12" spans="2:17" ht="13.5" thickBot="1" x14ac:dyDescent="0.25">
      <c r="B12" s="10" t="s">
        <v>268</v>
      </c>
      <c r="C12" s="9"/>
      <c r="D12" s="189">
        <f>MEDIAN(D4:D9)</f>
        <v>2.0480978934324656</v>
      </c>
      <c r="E12" s="189">
        <f>MEDIAN(E4:E9)</f>
        <v>11.539544105219822</v>
      </c>
      <c r="F12" s="189">
        <f>MEDIAN(F4:F9)</f>
        <v>24.954307843137254</v>
      </c>
      <c r="G12" s="189">
        <f>MEDIAN(G4:G9)</f>
        <v>1.57806895291202</v>
      </c>
      <c r="H12" s="181"/>
      <c r="I12" s="181"/>
      <c r="J12" s="181"/>
      <c r="K12" s="181"/>
      <c r="L12" s="181"/>
      <c r="M12" s="181"/>
      <c r="N12" s="181"/>
      <c r="O12" s="181"/>
      <c r="P12" s="181"/>
      <c r="Q12" s="181"/>
    </row>
    <row r="13" spans="2:17" ht="13.5" thickTop="1" x14ac:dyDescent="0.2">
      <c r="B13" t="s">
        <v>271</v>
      </c>
      <c r="D13">
        <f>_xlfn.RANK.EQ(D9,D4:D9,0)</f>
        <v>2</v>
      </c>
      <c r="E13">
        <f t="shared" ref="E13:G13" si="5">_xlfn.RANK.EQ(E9,E4:E9,0)</f>
        <v>3</v>
      </c>
      <c r="F13">
        <f t="shared" si="5"/>
        <v>5</v>
      </c>
      <c r="G13">
        <f t="shared" si="5"/>
        <v>2</v>
      </c>
    </row>
  </sheetData>
  <mergeCells count="3">
    <mergeCell ref="D2:G2"/>
    <mergeCell ref="I2:L2"/>
    <mergeCell ref="M2:Q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2BB8B-AC6A-4E28-B153-B808A902C113}">
  <sheetPr>
    <tabColor rgb="FFFFC000"/>
  </sheetPr>
  <dimension ref="A3:N27"/>
  <sheetViews>
    <sheetView showGridLines="0" zoomScale="95" zoomScaleNormal="100" workbookViewId="0"/>
  </sheetViews>
  <sheetFormatPr defaultRowHeight="12.75" x14ac:dyDescent="0.2"/>
  <cols>
    <col min="1" max="1" width="3.42578125" customWidth="1"/>
    <col min="2" max="2" width="32" bestFit="1" customWidth="1"/>
    <col min="3" max="17" width="9.42578125" bestFit="1" customWidth="1"/>
  </cols>
  <sheetData>
    <row r="3" spans="1:14" x14ac:dyDescent="0.2">
      <c r="B3" s="54" t="s">
        <v>104</v>
      </c>
      <c r="C3" s="55">
        <v>2020</v>
      </c>
      <c r="D3" s="56">
        <v>2021</v>
      </c>
      <c r="E3" s="56">
        <v>2022</v>
      </c>
      <c r="F3" s="56">
        <v>2023</v>
      </c>
      <c r="G3" s="56">
        <v>2024</v>
      </c>
      <c r="H3" s="57">
        <v>2025</v>
      </c>
      <c r="I3" s="57">
        <v>2026</v>
      </c>
      <c r="J3" s="57">
        <v>2027</v>
      </c>
      <c r="K3" s="57">
        <v>2028</v>
      </c>
      <c r="L3" s="57">
        <v>2029</v>
      </c>
    </row>
    <row r="4" spans="1:14" x14ac:dyDescent="0.2">
      <c r="B4" t="s">
        <v>105</v>
      </c>
      <c r="C4" s="2">
        <f>BS!C15</f>
        <v>1136027</v>
      </c>
      <c r="D4" s="2">
        <f>BS!D15</f>
        <v>1280454</v>
      </c>
      <c r="E4" s="2">
        <f>BS!E15</f>
        <v>1482620</v>
      </c>
      <c r="F4" s="2">
        <f>BS!F15</f>
        <v>1763308</v>
      </c>
      <c r="G4" s="2">
        <f>BS!G15</f>
        <v>2556935</v>
      </c>
      <c r="H4" s="2">
        <f>G11</f>
        <v>3404080.8982421155</v>
      </c>
      <c r="I4" s="2">
        <f>H11</f>
        <v>3792376.8369586398</v>
      </c>
      <c r="J4" s="2">
        <f t="shared" ref="J4:L4" si="0">I11</f>
        <v>4072879.1201929608</v>
      </c>
      <c r="K4" s="2">
        <f t="shared" si="0"/>
        <v>4379426.5133818872</v>
      </c>
      <c r="L4" s="2">
        <f t="shared" si="0"/>
        <v>4714437.3488994939</v>
      </c>
    </row>
    <row r="5" spans="1:14" x14ac:dyDescent="0.2">
      <c r="B5" t="s">
        <v>106</v>
      </c>
      <c r="C5" s="2">
        <f>-CF!C22</f>
        <v>231142</v>
      </c>
      <c r="D5" s="2">
        <f>-CF!D22</f>
        <v>285746</v>
      </c>
      <c r="E5" s="2">
        <f>-CF!E22</f>
        <v>367429</v>
      </c>
      <c r="F5" s="2">
        <f>-CF!F22</f>
        <v>439879</v>
      </c>
      <c r="G5" s="2">
        <f>-CF!G22</f>
        <v>1043557</v>
      </c>
      <c r="H5" s="2">
        <v>600000</v>
      </c>
      <c r="I5" s="2">
        <f>I6*IS!I5</f>
        <v>511863.42356324074</v>
      </c>
      <c r="J5" s="2">
        <f>J6*IS!J5</f>
        <v>559390.80549655866</v>
      </c>
      <c r="K5" s="2">
        <f>K6*IS!K5</f>
        <v>611331.18497854099</v>
      </c>
      <c r="L5" s="2">
        <f>L6*IS!L5</f>
        <v>668094.31627235794</v>
      </c>
    </row>
    <row r="6" spans="1:14" s="26" customFormat="1" ht="12.75" customHeight="1" x14ac:dyDescent="0.2">
      <c r="A6" s="25"/>
      <c r="B6" s="43" t="s">
        <v>100</v>
      </c>
      <c r="C6" s="44">
        <f>C5/IS!C5</f>
        <v>0.12683621182572546</v>
      </c>
      <c r="D6" s="44">
        <f>D5/IS!D5</f>
        <v>0.12485057045384637</v>
      </c>
      <c r="E6" s="44">
        <f>E5/IS!E5</f>
        <v>0.13159795806460972</v>
      </c>
      <c r="F6" s="44">
        <f>F5/IS!F5</f>
        <v>0.15265980503450888</v>
      </c>
      <c r="G6" s="44">
        <f>G5/IS!G5</f>
        <v>0.32518944717385762</v>
      </c>
      <c r="H6" s="45">
        <f>'Inputs &amp; Assumptions'!$B$43</f>
        <v>0.13355246611870497</v>
      </c>
      <c r="I6" s="45">
        <f>'Inputs &amp; Assumptions'!$B$43</f>
        <v>0.13355246611870497</v>
      </c>
      <c r="J6" s="45">
        <f>'Inputs &amp; Assumptions'!$B$43</f>
        <v>0.13355246611870497</v>
      </c>
      <c r="K6" s="45">
        <f>'Inputs &amp; Assumptions'!$B$43</f>
        <v>0.13355246611870497</v>
      </c>
      <c r="L6" s="45">
        <f>'Inputs &amp; Assumptions'!$B$43</f>
        <v>0.13355246611870497</v>
      </c>
      <c r="M6" s="32"/>
      <c r="N6" s="31"/>
    </row>
    <row r="7" spans="1:14" x14ac:dyDescent="0.2">
      <c r="B7" s="1" t="s">
        <v>109</v>
      </c>
      <c r="C7" s="2">
        <f>CF!C23</f>
        <v>12325</v>
      </c>
      <c r="D7" s="2">
        <f>CF!D23</f>
        <v>8398</v>
      </c>
      <c r="E7" s="2">
        <f>CF!E23</f>
        <v>1917</v>
      </c>
      <c r="F7" s="2">
        <f>CF!F23</f>
        <v>2727</v>
      </c>
      <c r="G7" s="2">
        <f>CF!G23</f>
        <v>2694</v>
      </c>
      <c r="H7" s="2">
        <v>0</v>
      </c>
      <c r="I7" s="2">
        <v>0</v>
      </c>
      <c r="J7" s="2">
        <v>0</v>
      </c>
      <c r="K7" s="2">
        <v>0</v>
      </c>
      <c r="L7" s="2">
        <v>0</v>
      </c>
    </row>
    <row r="8" spans="1:14" x14ac:dyDescent="0.2">
      <c r="B8" t="s">
        <v>107</v>
      </c>
      <c r="C8" s="2">
        <f>C4+C5-C7</f>
        <v>1354844</v>
      </c>
      <c r="D8" s="2">
        <f>D4+D5-D7</f>
        <v>1557802</v>
      </c>
      <c r="E8" s="2">
        <f>E4+E5-E7</f>
        <v>1848132</v>
      </c>
      <c r="F8" s="2">
        <f>F4+F5-F7</f>
        <v>2200460</v>
      </c>
      <c r="G8" s="2">
        <f>G4+G5-G7</f>
        <v>3597798</v>
      </c>
      <c r="H8" s="2">
        <f>H4+H5</f>
        <v>4004080.8982421155</v>
      </c>
      <c r="I8" s="2">
        <f t="shared" ref="I8:L8" si="1">I4+I5</f>
        <v>4304240.2605218804</v>
      </c>
      <c r="J8" s="2">
        <f t="shared" si="1"/>
        <v>4632269.9256895194</v>
      </c>
      <c r="K8" s="2">
        <f t="shared" si="1"/>
        <v>4990757.6983604282</v>
      </c>
      <c r="L8" s="2">
        <f t="shared" si="1"/>
        <v>5382531.6651718523</v>
      </c>
    </row>
    <row r="9" spans="1:14" x14ac:dyDescent="0.2">
      <c r="B9" s="1" t="s">
        <v>111</v>
      </c>
      <c r="C9" s="2">
        <f>C8-C11</f>
        <v>74390</v>
      </c>
      <c r="D9" s="2">
        <f>D8-D11</f>
        <v>75182</v>
      </c>
      <c r="E9" s="2">
        <f>E8-E11</f>
        <v>84824</v>
      </c>
      <c r="F9" s="2">
        <f>F8-F11</f>
        <v>-356475</v>
      </c>
      <c r="G9" s="2">
        <f>G10*IS!G5</f>
        <v>193717.10175788467</v>
      </c>
      <c r="H9" s="2">
        <f>H10*IS!H5</f>
        <v>211704.06128347554</v>
      </c>
      <c r="I9" s="2">
        <f>I10*IS!I5</f>
        <v>231361.14032891972</v>
      </c>
      <c r="J9" s="2">
        <f>J10*IS!J5</f>
        <v>252843.41230763239</v>
      </c>
      <c r="K9" s="2">
        <f>K10*IS!K5</f>
        <v>276320.34946093441</v>
      </c>
      <c r="L9" s="2">
        <f>L10*IS!L5</f>
        <v>301977.15981350135</v>
      </c>
    </row>
    <row r="10" spans="1:14" s="26" customFormat="1" ht="12.75" customHeight="1" x14ac:dyDescent="0.2">
      <c r="A10" s="25"/>
      <c r="B10" s="43" t="s">
        <v>122</v>
      </c>
      <c r="C10" s="44">
        <f>C9/C4</f>
        <v>6.5482598564998898E-2</v>
      </c>
      <c r="D10" s="44">
        <f t="shared" ref="D10:F10" si="2">D9/D4</f>
        <v>5.8715111983718274E-2</v>
      </c>
      <c r="E10" s="44">
        <f t="shared" si="2"/>
        <v>5.7212232399401063E-2</v>
      </c>
      <c r="F10" s="44">
        <f t="shared" si="2"/>
        <v>-0.20216263976571308</v>
      </c>
      <c r="G10" s="44">
        <f>'Inputs &amp; Assumptions'!$B$45</f>
        <v>6.036542060354004E-2</v>
      </c>
      <c r="H10" s="44">
        <f>'Inputs &amp; Assumptions'!$B$45</f>
        <v>6.036542060354004E-2</v>
      </c>
      <c r="I10" s="44">
        <f>'Inputs &amp; Assumptions'!$B$45</f>
        <v>6.036542060354004E-2</v>
      </c>
      <c r="J10" s="44">
        <f>'Inputs &amp; Assumptions'!$B$45</f>
        <v>6.036542060354004E-2</v>
      </c>
      <c r="K10" s="44">
        <f>'Inputs &amp; Assumptions'!$B$45</f>
        <v>6.036542060354004E-2</v>
      </c>
      <c r="L10" s="44">
        <f>'Inputs &amp; Assumptions'!$B$45</f>
        <v>6.036542060354004E-2</v>
      </c>
      <c r="M10" s="32"/>
      <c r="N10" s="31"/>
    </row>
    <row r="11" spans="1:14" ht="13.5" thickBot="1" x14ac:dyDescent="0.25">
      <c r="B11" s="7" t="s">
        <v>108</v>
      </c>
      <c r="C11" s="8">
        <f>D4</f>
        <v>1280454</v>
      </c>
      <c r="D11" s="8">
        <f>E4</f>
        <v>1482620</v>
      </c>
      <c r="E11" s="8">
        <f>F4</f>
        <v>1763308</v>
      </c>
      <c r="F11" s="8">
        <f>G4</f>
        <v>2556935</v>
      </c>
      <c r="G11" s="8">
        <f>G8-G9</f>
        <v>3404080.8982421155</v>
      </c>
      <c r="H11" s="8">
        <f>H8-H9</f>
        <v>3792376.8369586398</v>
      </c>
      <c r="I11" s="8">
        <f t="shared" ref="I11:L11" si="3">I8-I9</f>
        <v>4072879.1201929608</v>
      </c>
      <c r="J11" s="8">
        <f t="shared" si="3"/>
        <v>4379426.5133818872</v>
      </c>
      <c r="K11" s="8">
        <f t="shared" si="3"/>
        <v>4714437.3488994939</v>
      </c>
      <c r="L11" s="8">
        <f t="shared" si="3"/>
        <v>5080554.5053583514</v>
      </c>
    </row>
    <row r="12" spans="1:14" ht="13.5" thickTop="1" x14ac:dyDescent="0.2">
      <c r="B12" s="5"/>
      <c r="C12" s="11"/>
      <c r="D12" s="11"/>
      <c r="E12" s="11"/>
      <c r="F12" s="11"/>
      <c r="G12" s="11"/>
      <c r="H12" s="11"/>
      <c r="I12" s="11"/>
      <c r="J12" s="11"/>
      <c r="K12" s="11"/>
      <c r="L12" s="11"/>
    </row>
    <row r="14" spans="1:14" x14ac:dyDescent="0.2">
      <c r="B14" s="54" t="s">
        <v>121</v>
      </c>
      <c r="C14" s="55">
        <v>2020</v>
      </c>
      <c r="D14" s="56">
        <v>2021</v>
      </c>
      <c r="E14" s="56">
        <v>2022</v>
      </c>
      <c r="F14" s="56">
        <v>2023</v>
      </c>
      <c r="G14" s="56">
        <v>2024</v>
      </c>
      <c r="H14" s="57">
        <v>2025</v>
      </c>
      <c r="I14" s="57">
        <v>2026</v>
      </c>
      <c r="J14" s="57">
        <v>2027</v>
      </c>
      <c r="K14" s="57">
        <v>2028</v>
      </c>
      <c r="L14" s="57">
        <v>2029</v>
      </c>
    </row>
    <row r="15" spans="1:14" x14ac:dyDescent="0.2">
      <c r="B15" t="s">
        <v>54</v>
      </c>
      <c r="C15" s="2">
        <f>SUM(BS!C26:C27,BS!C30:C31)</f>
        <v>186506</v>
      </c>
      <c r="D15" s="2">
        <f>SUM(BS!D26:D27,BS!D30:D31)</f>
        <v>160378</v>
      </c>
      <c r="E15" s="2">
        <f>SUM(BS!E26:E27,BS!E30:E31)</f>
        <v>154514</v>
      </c>
      <c r="F15" s="2">
        <f>SUM(BS!F26:F27,BS!F30:F31)</f>
        <v>138707</v>
      </c>
      <c r="G15" s="2">
        <f>SUM(BS!G26:G27,BS!G30:G31)</f>
        <v>324464</v>
      </c>
      <c r="H15" s="2">
        <f>G15+H16</f>
        <v>308657</v>
      </c>
      <c r="I15" s="2">
        <f t="shared" ref="I15:L15" si="4">H15+I16</f>
        <v>292850</v>
      </c>
      <c r="J15" s="2">
        <f t="shared" si="4"/>
        <v>277043</v>
      </c>
      <c r="K15" s="2">
        <f t="shared" si="4"/>
        <v>261236</v>
      </c>
      <c r="L15" s="2">
        <f t="shared" si="4"/>
        <v>245429</v>
      </c>
    </row>
    <row r="16" spans="1:14" x14ac:dyDescent="0.2">
      <c r="B16" t="s">
        <v>123</v>
      </c>
      <c r="D16" s="2">
        <f>D15-C15</f>
        <v>-26128</v>
      </c>
      <c r="E16" s="2">
        <f t="shared" ref="E16:G16" si="5">E15-D15</f>
        <v>-5864</v>
      </c>
      <c r="F16" s="2">
        <f t="shared" si="5"/>
        <v>-15807</v>
      </c>
      <c r="G16" s="2">
        <f t="shared" si="5"/>
        <v>185757</v>
      </c>
      <c r="H16" s="2">
        <f>$F$16</f>
        <v>-15807</v>
      </c>
      <c r="I16" s="2">
        <f t="shared" ref="I16:L16" si="6">$F$16</f>
        <v>-15807</v>
      </c>
      <c r="J16" s="2">
        <f t="shared" si="6"/>
        <v>-15807</v>
      </c>
      <c r="K16" s="2">
        <f t="shared" si="6"/>
        <v>-15807</v>
      </c>
      <c r="L16" s="2">
        <f t="shared" si="6"/>
        <v>-15807</v>
      </c>
    </row>
    <row r="17" spans="2:12" x14ac:dyDescent="0.2">
      <c r="B17" t="s">
        <v>125</v>
      </c>
      <c r="C17" s="2">
        <f>IS!C28+IS!C29</f>
        <v>5177</v>
      </c>
      <c r="D17" s="2">
        <f>IS!D28+IS!D29</f>
        <v>3212</v>
      </c>
      <c r="E17" s="2">
        <f>IS!E28+IS!E29</f>
        <v>2394</v>
      </c>
      <c r="F17" s="2">
        <f>IS!F28+IS!F29</f>
        <v>-3673</v>
      </c>
      <c r="G17" s="2">
        <f>IS!G28+IS!G29</f>
        <v>7881</v>
      </c>
      <c r="H17" s="2">
        <f>H18*H15</f>
        <v>6601.2006823442061</v>
      </c>
      <c r="I17" s="2">
        <f t="shared" ref="I17:L17" si="7">I18*I15</f>
        <v>6263.1387586366127</v>
      </c>
      <c r="J17" s="2">
        <f t="shared" si="7"/>
        <v>5925.0768349290183</v>
      </c>
      <c r="K17" s="2">
        <f t="shared" si="7"/>
        <v>5587.014911221424</v>
      </c>
      <c r="L17" s="2">
        <f t="shared" si="7"/>
        <v>5248.9529875138296</v>
      </c>
    </row>
    <row r="18" spans="2:12" ht="13.5" thickBot="1" x14ac:dyDescent="0.25">
      <c r="B18" s="6" t="s">
        <v>126</v>
      </c>
      <c r="C18" s="68">
        <f>C17/C15</f>
        <v>2.7757820123749371E-2</v>
      </c>
      <c r="D18" s="68">
        <f t="shared" ref="D18:G18" si="8">D17/D15</f>
        <v>2.0027684595143973E-2</v>
      </c>
      <c r="E18" s="68">
        <f t="shared" si="8"/>
        <v>1.5493741667421722E-2</v>
      </c>
      <c r="F18" s="68">
        <f t="shared" si="8"/>
        <v>-2.6480278572818965E-2</v>
      </c>
      <c r="G18" s="68">
        <f t="shared" si="8"/>
        <v>2.4289289412692934E-2</v>
      </c>
      <c r="H18" s="68">
        <f>'Inputs &amp; Assumptions'!$B$47</f>
        <v>2.138684909898109E-2</v>
      </c>
      <c r="I18" s="68">
        <f>'Inputs &amp; Assumptions'!$B$47</f>
        <v>2.138684909898109E-2</v>
      </c>
      <c r="J18" s="68">
        <f>'Inputs &amp; Assumptions'!$B$47</f>
        <v>2.138684909898109E-2</v>
      </c>
      <c r="K18" s="68">
        <f>'Inputs &amp; Assumptions'!$B$47</f>
        <v>2.138684909898109E-2</v>
      </c>
      <c r="L18" s="68">
        <f>'Inputs &amp; Assumptions'!$B$47</f>
        <v>2.138684909898109E-2</v>
      </c>
    </row>
    <row r="19" spans="2:12" ht="13.5" thickTop="1" x14ac:dyDescent="0.2">
      <c r="C19" s="2"/>
      <c r="D19" s="2"/>
      <c r="E19" s="2"/>
      <c r="F19" s="2"/>
      <c r="G19" s="2"/>
      <c r="H19" s="2"/>
      <c r="I19" s="2"/>
      <c r="J19" s="2"/>
      <c r="K19" s="2"/>
      <c r="L19" s="2"/>
    </row>
    <row r="22" spans="2:12" x14ac:dyDescent="0.2">
      <c r="C22" s="2"/>
      <c r="D22" s="2"/>
      <c r="E22" s="2"/>
      <c r="F22" s="2"/>
      <c r="G22" s="2"/>
    </row>
    <row r="24" spans="2:12" x14ac:dyDescent="0.2">
      <c r="C24" s="2"/>
      <c r="D24" s="2"/>
      <c r="E24" s="2"/>
      <c r="F24" s="2"/>
      <c r="G24" s="2"/>
    </row>
    <row r="25" spans="2:12" x14ac:dyDescent="0.2">
      <c r="C25" s="2"/>
      <c r="D25" s="2"/>
      <c r="E25" s="2"/>
      <c r="F25" s="2"/>
      <c r="G25" s="2"/>
    </row>
    <row r="26" spans="2:12" x14ac:dyDescent="0.2">
      <c r="C26" s="2"/>
      <c r="D26" s="2"/>
      <c r="E26" s="2"/>
      <c r="F26" s="18"/>
      <c r="G26" s="16"/>
    </row>
    <row r="27" spans="2:12" x14ac:dyDescent="0.2">
      <c r="C27" s="2"/>
      <c r="D27" s="2"/>
      <c r="E27" s="2"/>
      <c r="F27" s="18"/>
      <c r="G27" s="1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666C3-B668-45C3-8B95-6416BDE73327}">
  <sheetPr>
    <tabColor theme="2" tint="-0.34998626667073579"/>
  </sheetPr>
  <dimension ref="A1:I75"/>
  <sheetViews>
    <sheetView showGridLines="0" topLeftCell="A51" zoomScale="112" workbookViewId="0"/>
  </sheetViews>
  <sheetFormatPr defaultRowHeight="12.75" x14ac:dyDescent="0.2"/>
  <cols>
    <col min="1" max="1" width="25" bestFit="1" customWidth="1"/>
    <col min="2" max="3" width="10.85546875" bestFit="1" customWidth="1"/>
    <col min="4" max="4" width="11.7109375" bestFit="1" customWidth="1"/>
    <col min="5" max="7" width="10.85546875" bestFit="1" customWidth="1"/>
    <col min="8" max="8" width="11.7109375" bestFit="1" customWidth="1"/>
    <col min="9" max="9" width="10.85546875" bestFit="1" customWidth="1"/>
  </cols>
  <sheetData>
    <row r="1" spans="1:9" x14ac:dyDescent="0.2">
      <c r="A1" s="191" t="s">
        <v>339</v>
      </c>
      <c r="B1" s="201" t="s">
        <v>335</v>
      </c>
      <c r="C1" s="201"/>
      <c r="D1" s="201" t="s">
        <v>336</v>
      </c>
      <c r="E1" s="201"/>
      <c r="F1" s="201" t="s">
        <v>335</v>
      </c>
      <c r="G1" s="201"/>
      <c r="H1" s="201" t="s">
        <v>336</v>
      </c>
      <c r="I1" s="201"/>
    </row>
    <row r="2" spans="1:9" x14ac:dyDescent="0.2">
      <c r="A2" s="191" t="s">
        <v>338</v>
      </c>
      <c r="B2" s="190" t="s">
        <v>334</v>
      </c>
      <c r="C2" s="190" t="s">
        <v>263</v>
      </c>
      <c r="D2" s="190" t="s">
        <v>334</v>
      </c>
      <c r="E2" s="190" t="s">
        <v>263</v>
      </c>
      <c r="F2" s="190" t="s">
        <v>337</v>
      </c>
      <c r="G2" s="190" t="s">
        <v>263</v>
      </c>
      <c r="H2" s="190" t="s">
        <v>337</v>
      </c>
      <c r="I2" s="190" t="s">
        <v>263</v>
      </c>
    </row>
    <row r="3" spans="1:9" x14ac:dyDescent="0.2">
      <c r="A3" s="191" t="s">
        <v>272</v>
      </c>
      <c r="B3" s="96">
        <v>0.18340000000000001</v>
      </c>
      <c r="C3" s="96">
        <v>-0.3019</v>
      </c>
      <c r="D3" s="96">
        <v>0.83199999999999996</v>
      </c>
      <c r="E3" s="96">
        <v>0.52880000000000005</v>
      </c>
      <c r="F3" s="96">
        <v>-2.5700000000000001E-2</v>
      </c>
      <c r="G3" s="96">
        <v>-0.3019</v>
      </c>
      <c r="H3" s="96">
        <v>0.23400000000000001</v>
      </c>
      <c r="I3" s="96">
        <v>0.52880000000000005</v>
      </c>
    </row>
    <row r="4" spans="1:9" x14ac:dyDescent="0.2">
      <c r="A4" s="191" t="s">
        <v>273</v>
      </c>
      <c r="B4" s="96">
        <v>0.1222</v>
      </c>
      <c r="C4" s="96">
        <v>-0.21809999999999999</v>
      </c>
      <c r="D4" s="96">
        <v>0.14849999999999999</v>
      </c>
      <c r="E4" s="96">
        <v>0.1019</v>
      </c>
      <c r="F4" s="96">
        <v>-1.77E-2</v>
      </c>
      <c r="G4" s="96">
        <v>-0.21809999999999999</v>
      </c>
      <c r="H4" s="96">
        <v>4.9299999999999997E-2</v>
      </c>
      <c r="I4" s="96">
        <v>0.1019</v>
      </c>
    </row>
    <row r="5" spans="1:9" x14ac:dyDescent="0.2">
      <c r="A5" s="191"/>
      <c r="B5" s="96"/>
      <c r="C5" s="96"/>
      <c r="D5" s="96"/>
      <c r="E5" s="96"/>
      <c r="F5" s="96"/>
      <c r="G5" s="96"/>
      <c r="H5" s="96"/>
      <c r="I5" s="96"/>
    </row>
    <row r="6" spans="1:9" x14ac:dyDescent="0.2">
      <c r="A6" s="191" t="s">
        <v>274</v>
      </c>
      <c r="B6">
        <v>0.98</v>
      </c>
      <c r="C6">
        <v>-0.26</v>
      </c>
      <c r="D6">
        <v>1.35</v>
      </c>
      <c r="E6">
        <v>0.54</v>
      </c>
      <c r="F6">
        <v>0.02</v>
      </c>
      <c r="G6">
        <v>-0.26</v>
      </c>
      <c r="H6">
        <v>0.43</v>
      </c>
      <c r="I6">
        <v>0.54</v>
      </c>
    </row>
    <row r="7" spans="1:9" x14ac:dyDescent="0.2">
      <c r="A7" s="191" t="s">
        <v>275</v>
      </c>
      <c r="B7" s="96">
        <v>0.8427</v>
      </c>
      <c r="C7" s="96">
        <v>0.39789999999999998</v>
      </c>
      <c r="D7" s="96">
        <v>0.99139999999999995</v>
      </c>
      <c r="E7" s="96">
        <v>0.82050000000000001</v>
      </c>
      <c r="F7" s="96">
        <v>0.50960000000000005</v>
      </c>
      <c r="G7" s="96">
        <v>0.39789999999999998</v>
      </c>
      <c r="H7" s="96">
        <v>0.77290000000000003</v>
      </c>
      <c r="I7" s="96">
        <v>0.82050000000000001</v>
      </c>
    </row>
    <row r="8" spans="1:9" x14ac:dyDescent="0.2">
      <c r="A8" s="191" t="s">
        <v>276</v>
      </c>
      <c r="B8">
        <v>0.92</v>
      </c>
      <c r="C8">
        <v>-0.24</v>
      </c>
      <c r="D8">
        <v>1.32</v>
      </c>
      <c r="E8">
        <v>0.53</v>
      </c>
      <c r="F8">
        <v>0.02</v>
      </c>
      <c r="G8">
        <v>-0.24</v>
      </c>
      <c r="H8">
        <v>0.42</v>
      </c>
      <c r="I8">
        <v>0.53</v>
      </c>
    </row>
    <row r="9" spans="1:9" x14ac:dyDescent="0.2">
      <c r="A9" s="191" t="s">
        <v>277</v>
      </c>
      <c r="B9">
        <v>1.46</v>
      </c>
      <c r="C9">
        <v>-0.34</v>
      </c>
      <c r="D9">
        <v>2.0499999999999998</v>
      </c>
      <c r="E9">
        <v>0.75</v>
      </c>
      <c r="F9">
        <v>0.04</v>
      </c>
      <c r="G9">
        <v>-0.34</v>
      </c>
      <c r="H9">
        <v>0.64</v>
      </c>
      <c r="I9">
        <v>0.75</v>
      </c>
    </row>
    <row r="10" spans="1:9" x14ac:dyDescent="0.2">
      <c r="A10" s="191" t="s">
        <v>278</v>
      </c>
      <c r="B10">
        <v>1.36</v>
      </c>
      <c r="C10">
        <v>-0.32</v>
      </c>
      <c r="D10">
        <v>2.0099999999999998</v>
      </c>
      <c r="E10">
        <v>0.74</v>
      </c>
      <c r="F10">
        <v>0.03</v>
      </c>
      <c r="G10">
        <v>-0.32</v>
      </c>
      <c r="H10">
        <v>0.62</v>
      </c>
      <c r="I10">
        <v>0.74</v>
      </c>
    </row>
    <row r="11" spans="1:9" x14ac:dyDescent="0.2">
      <c r="A11" s="191" t="s">
        <v>279</v>
      </c>
      <c r="B11">
        <v>1.03</v>
      </c>
      <c r="C11">
        <v>-0.24</v>
      </c>
      <c r="D11">
        <v>1.45</v>
      </c>
      <c r="E11">
        <v>0.53</v>
      </c>
      <c r="F11">
        <v>0.03</v>
      </c>
      <c r="G11">
        <v>-0.24</v>
      </c>
      <c r="H11">
        <v>0.45</v>
      </c>
      <c r="I11">
        <v>0.53</v>
      </c>
    </row>
    <row r="12" spans="1:9" x14ac:dyDescent="0.2">
      <c r="A12" s="191" t="s">
        <v>280</v>
      </c>
      <c r="B12">
        <v>0.96</v>
      </c>
      <c r="C12">
        <v>-0.23</v>
      </c>
      <c r="D12">
        <v>1.42</v>
      </c>
      <c r="E12">
        <v>0.52</v>
      </c>
      <c r="F12">
        <v>0.02</v>
      </c>
      <c r="G12">
        <v>-0.23</v>
      </c>
      <c r="H12">
        <v>0.44</v>
      </c>
      <c r="I12">
        <v>0.52</v>
      </c>
    </row>
    <row r="13" spans="1:9" x14ac:dyDescent="0.2">
      <c r="A13" s="191" t="s">
        <v>281</v>
      </c>
      <c r="B13">
        <v>0.95</v>
      </c>
      <c r="C13">
        <v>0.95</v>
      </c>
      <c r="D13">
        <v>1.1100000000000001</v>
      </c>
      <c r="E13">
        <v>1.1100000000000001</v>
      </c>
      <c r="F13">
        <v>0.95</v>
      </c>
      <c r="G13">
        <v>0.95</v>
      </c>
      <c r="H13">
        <v>1.1100000000000001</v>
      </c>
      <c r="I13">
        <v>1.1100000000000001</v>
      </c>
    </row>
    <row r="14" spans="1:9" x14ac:dyDescent="0.2">
      <c r="A14" s="191"/>
    </row>
    <row r="15" spans="1:9" x14ac:dyDescent="0.2">
      <c r="A15" s="191" t="s">
        <v>282</v>
      </c>
      <c r="B15" s="96">
        <v>-0.189</v>
      </c>
      <c r="C15" s="96">
        <v>-0.58420000000000005</v>
      </c>
      <c r="D15" s="96">
        <v>-0.189</v>
      </c>
      <c r="E15" s="96">
        <v>-0.60940000000000005</v>
      </c>
      <c r="F15" s="96">
        <v>-0.28820000000000001</v>
      </c>
      <c r="G15" s="96">
        <v>-0.58420000000000005</v>
      </c>
      <c r="H15" s="96">
        <v>-0.28820000000000001</v>
      </c>
      <c r="I15" s="96">
        <v>-0.60940000000000005</v>
      </c>
    </row>
    <row r="16" spans="1:9" x14ac:dyDescent="0.2">
      <c r="A16" s="191" t="s">
        <v>283</v>
      </c>
      <c r="B16">
        <v>127</v>
      </c>
      <c r="C16">
        <v>330</v>
      </c>
      <c r="D16">
        <v>127</v>
      </c>
      <c r="E16">
        <v>600</v>
      </c>
      <c r="F16">
        <v>336</v>
      </c>
      <c r="G16">
        <v>330</v>
      </c>
      <c r="H16">
        <v>464</v>
      </c>
      <c r="I16">
        <v>600</v>
      </c>
    </row>
    <row r="17" spans="1:9" x14ac:dyDescent="0.2">
      <c r="A17" s="191" t="s">
        <v>284</v>
      </c>
      <c r="B17" s="96">
        <v>0.18890000000000001</v>
      </c>
      <c r="C17" s="96">
        <v>0.61799999999999999</v>
      </c>
      <c r="D17" s="96">
        <v>0.15859999999999999</v>
      </c>
      <c r="E17" s="96">
        <v>0.52390000000000003</v>
      </c>
      <c r="F17" s="96">
        <v>0.25509999999999999</v>
      </c>
      <c r="G17" s="96">
        <v>0.61799999999999999</v>
      </c>
      <c r="H17" s="96">
        <v>0.21759999999999999</v>
      </c>
      <c r="I17" s="96">
        <v>0.52390000000000003</v>
      </c>
    </row>
    <row r="18" spans="1:9" x14ac:dyDescent="0.2">
      <c r="A18" s="191" t="s">
        <v>285</v>
      </c>
      <c r="B18">
        <v>0.23</v>
      </c>
      <c r="C18">
        <v>0.23</v>
      </c>
      <c r="D18">
        <v>0.19</v>
      </c>
      <c r="E18">
        <v>0.19</v>
      </c>
      <c r="F18">
        <v>0.49</v>
      </c>
      <c r="G18">
        <v>0.49</v>
      </c>
      <c r="H18">
        <v>0.41</v>
      </c>
      <c r="I18">
        <v>0.41</v>
      </c>
    </row>
    <row r="19" spans="1:9" x14ac:dyDescent="0.2">
      <c r="A19" s="191" t="s">
        <v>286</v>
      </c>
      <c r="B19">
        <v>-0.04</v>
      </c>
      <c r="C19">
        <v>-0.04</v>
      </c>
      <c r="D19">
        <v>0.01</v>
      </c>
      <c r="E19">
        <v>0.01</v>
      </c>
      <c r="F19">
        <v>-0.02</v>
      </c>
      <c r="G19">
        <v>-0.02</v>
      </c>
      <c r="H19">
        <v>0.03</v>
      </c>
      <c r="I19">
        <v>0.03</v>
      </c>
    </row>
    <row r="20" spans="1:9" x14ac:dyDescent="0.2">
      <c r="A20" s="191" t="s">
        <v>287</v>
      </c>
      <c r="B20">
        <v>0.65</v>
      </c>
      <c r="C20">
        <v>-0.37</v>
      </c>
      <c r="D20">
        <v>0.79</v>
      </c>
      <c r="E20">
        <v>0.17</v>
      </c>
      <c r="F20">
        <v>-0.06</v>
      </c>
      <c r="G20">
        <v>-0.37</v>
      </c>
      <c r="H20">
        <v>0.17</v>
      </c>
      <c r="I20">
        <v>0.17</v>
      </c>
    </row>
    <row r="21" spans="1:9" x14ac:dyDescent="0.2">
      <c r="A21" s="191" t="s">
        <v>288</v>
      </c>
      <c r="B21">
        <v>1</v>
      </c>
      <c r="C21">
        <v>-1.4</v>
      </c>
      <c r="D21">
        <v>0.69</v>
      </c>
      <c r="E21">
        <v>-1.1000000000000001</v>
      </c>
      <c r="F21">
        <v>0.56999999999999995</v>
      </c>
      <c r="G21">
        <v>-1.4</v>
      </c>
      <c r="H21">
        <v>0.35</v>
      </c>
      <c r="I21">
        <v>-1.1000000000000001</v>
      </c>
    </row>
    <row r="22" spans="1:9" x14ac:dyDescent="0.2">
      <c r="A22" s="191" t="s">
        <v>289</v>
      </c>
      <c r="B22">
        <v>18.8</v>
      </c>
      <c r="C22">
        <v>16.66</v>
      </c>
      <c r="D22">
        <v>13.81</v>
      </c>
      <c r="E22">
        <v>15.71</v>
      </c>
      <c r="F22">
        <v>10.85</v>
      </c>
      <c r="G22">
        <v>16.66</v>
      </c>
      <c r="H22">
        <v>7.28</v>
      </c>
      <c r="I22">
        <v>15.71</v>
      </c>
    </row>
    <row r="23" spans="1:9" x14ac:dyDescent="0.2">
      <c r="A23" s="191"/>
    </row>
    <row r="24" spans="1:9" x14ac:dyDescent="0.2">
      <c r="A24" s="191" t="s">
        <v>290</v>
      </c>
      <c r="B24" s="96">
        <v>6.9999999999999999E-4</v>
      </c>
      <c r="C24" s="96">
        <v>-1.4E-3</v>
      </c>
      <c r="D24" s="96">
        <v>8.0000000000000004E-4</v>
      </c>
      <c r="E24" s="96">
        <v>5.9999999999999995E-4</v>
      </c>
      <c r="F24" s="96">
        <v>-1E-4</v>
      </c>
      <c r="G24" s="96">
        <v>-1.4E-3</v>
      </c>
      <c r="H24" s="96">
        <v>2.9999999999999997E-4</v>
      </c>
      <c r="I24" s="96">
        <v>5.9999999999999995E-4</v>
      </c>
    </row>
    <row r="25" spans="1:9" x14ac:dyDescent="0.2">
      <c r="A25" s="191" t="s">
        <v>291</v>
      </c>
      <c r="B25" s="96">
        <v>1.2999999999999999E-2</v>
      </c>
      <c r="C25" s="96">
        <v>-2.7300000000000001E-2</v>
      </c>
      <c r="D25" s="96">
        <v>1.6500000000000001E-2</v>
      </c>
      <c r="E25" s="96">
        <v>1.15E-2</v>
      </c>
      <c r="F25" s="96">
        <v>-2E-3</v>
      </c>
      <c r="G25" s="96">
        <v>-2.7300000000000001E-2</v>
      </c>
      <c r="H25" s="96">
        <v>5.7000000000000002E-3</v>
      </c>
      <c r="I25" s="96">
        <v>1.15E-2</v>
      </c>
    </row>
    <row r="26" spans="1:9" x14ac:dyDescent="0.2">
      <c r="A26" s="191" t="s">
        <v>292</v>
      </c>
      <c r="B26" s="96">
        <v>8.7800000000000003E-2</v>
      </c>
      <c r="C26" s="96">
        <v>-0.16450000000000001</v>
      </c>
      <c r="D26" s="96">
        <v>0.16339999999999999</v>
      </c>
      <c r="E26" s="96">
        <v>0.112</v>
      </c>
      <c r="F26" s="96">
        <v>-1.2999999999999999E-2</v>
      </c>
      <c r="G26" s="96">
        <v>-0.16450000000000001</v>
      </c>
      <c r="H26" s="96">
        <v>5.3999999999999999E-2</v>
      </c>
      <c r="I26" s="96">
        <v>0.112</v>
      </c>
    </row>
    <row r="27" spans="1:9" x14ac:dyDescent="0.2">
      <c r="A27" s="191" t="s">
        <v>293</v>
      </c>
      <c r="B27" s="96">
        <v>0.1663</v>
      </c>
      <c r="C27" s="96">
        <v>-1.37E-2</v>
      </c>
      <c r="D27" s="96">
        <v>0.1429</v>
      </c>
      <c r="E27" s="96">
        <v>0.09</v>
      </c>
      <c r="F27" s="96">
        <v>5.0900000000000001E-2</v>
      </c>
      <c r="G27" s="96">
        <v>-9.4999999999999998E-3</v>
      </c>
      <c r="H27" s="96">
        <v>3.1399999999999997E-2</v>
      </c>
      <c r="I27" s="96">
        <v>7.6700000000000004E-2</v>
      </c>
    </row>
    <row r="28" spans="1:9" x14ac:dyDescent="0.2">
      <c r="A28" s="191" t="s">
        <v>294</v>
      </c>
      <c r="B28" s="96">
        <v>0</v>
      </c>
      <c r="C28" s="96">
        <v>0</v>
      </c>
      <c r="D28" s="96">
        <v>0</v>
      </c>
      <c r="E28" s="96">
        <v>0</v>
      </c>
      <c r="F28" s="96">
        <v>0</v>
      </c>
      <c r="G28" s="96">
        <v>0</v>
      </c>
      <c r="H28" s="96">
        <v>0</v>
      </c>
      <c r="I28" s="96">
        <v>0</v>
      </c>
    </row>
    <row r="29" spans="1:9" x14ac:dyDescent="0.2">
      <c r="A29" s="191" t="s">
        <v>295</v>
      </c>
      <c r="B29" s="96">
        <v>-1.8800000000000001E-2</v>
      </c>
      <c r="C29" s="96">
        <v>-6.4699999999999994E-2</v>
      </c>
      <c r="D29" s="96">
        <v>-1.5599999999999999E-2</v>
      </c>
      <c r="E29" s="96">
        <v>-5.3199999999999997E-2</v>
      </c>
      <c r="F29" s="96">
        <v>-2.64E-2</v>
      </c>
      <c r="G29" s="96">
        <v>-6.4699999999999994E-2</v>
      </c>
      <c r="H29" s="96">
        <v>-2.2200000000000001E-2</v>
      </c>
      <c r="I29" s="96">
        <v>-5.3199999999999997E-2</v>
      </c>
    </row>
    <row r="30" spans="1:9" x14ac:dyDescent="0.2">
      <c r="A30" s="191" t="s">
        <v>296</v>
      </c>
      <c r="B30" s="96">
        <v>-1.8800000000000001E-2</v>
      </c>
      <c r="C30" s="96">
        <v>-6.4699999999999994E-2</v>
      </c>
      <c r="D30" s="96">
        <v>-1.5599999999999999E-2</v>
      </c>
      <c r="E30" s="96">
        <v>-5.3199999999999997E-2</v>
      </c>
      <c r="F30" s="96">
        <v>-2.64E-2</v>
      </c>
      <c r="G30" s="96">
        <v>-6.4699999999999994E-2</v>
      </c>
      <c r="H30" s="96">
        <v>-2.2200000000000001E-2</v>
      </c>
      <c r="I30" s="96">
        <v>-5.3199999999999997E-2</v>
      </c>
    </row>
    <row r="31" spans="1:9" x14ac:dyDescent="0.2">
      <c r="A31" s="191"/>
      <c r="B31" s="96"/>
      <c r="C31" s="96"/>
      <c r="D31" s="96"/>
      <c r="E31" s="96"/>
      <c r="F31" s="96"/>
      <c r="G31" s="96"/>
      <c r="H31" s="96"/>
      <c r="I31" s="96"/>
    </row>
    <row r="32" spans="1:9" x14ac:dyDescent="0.2">
      <c r="A32" s="191" t="s">
        <v>297</v>
      </c>
      <c r="B32">
        <v>9</v>
      </c>
      <c r="C32">
        <v>5</v>
      </c>
      <c r="D32">
        <v>9</v>
      </c>
      <c r="E32">
        <v>8</v>
      </c>
      <c r="F32">
        <v>4</v>
      </c>
      <c r="G32">
        <v>5</v>
      </c>
      <c r="H32">
        <v>6</v>
      </c>
      <c r="I32">
        <v>8</v>
      </c>
    </row>
    <row r="33" spans="1:9" x14ac:dyDescent="0.2">
      <c r="A33" s="191" t="s">
        <v>298</v>
      </c>
      <c r="B33">
        <v>5</v>
      </c>
      <c r="C33">
        <v>5</v>
      </c>
      <c r="D33">
        <v>6</v>
      </c>
      <c r="E33">
        <v>9</v>
      </c>
      <c r="F33">
        <v>7</v>
      </c>
      <c r="G33">
        <v>5</v>
      </c>
      <c r="H33">
        <v>7</v>
      </c>
      <c r="I33">
        <v>9</v>
      </c>
    </row>
    <row r="34" spans="1:9" x14ac:dyDescent="0.2">
      <c r="A34" s="191" t="s">
        <v>299</v>
      </c>
      <c r="B34">
        <v>0.22</v>
      </c>
      <c r="C34">
        <v>-0.05</v>
      </c>
      <c r="D34">
        <v>0.28000000000000003</v>
      </c>
      <c r="E34">
        <v>0.11</v>
      </c>
      <c r="F34">
        <v>0</v>
      </c>
      <c r="G34">
        <v>-0.05</v>
      </c>
      <c r="H34">
        <v>0.08</v>
      </c>
      <c r="I34">
        <v>0.11</v>
      </c>
    </row>
    <row r="35" spans="1:9" x14ac:dyDescent="0.2">
      <c r="A35" s="191" t="s">
        <v>300</v>
      </c>
      <c r="B35">
        <v>1.64</v>
      </c>
      <c r="C35">
        <v>-0.19</v>
      </c>
      <c r="D35">
        <v>2.0099999999999998</v>
      </c>
      <c r="E35">
        <v>0.5</v>
      </c>
      <c r="F35">
        <v>0.02</v>
      </c>
      <c r="G35">
        <v>-0.19</v>
      </c>
      <c r="H35">
        <v>0.39</v>
      </c>
      <c r="I35">
        <v>0.5</v>
      </c>
    </row>
    <row r="36" spans="1:9" x14ac:dyDescent="0.2">
      <c r="A36" s="191"/>
    </row>
    <row r="37" spans="1:9" x14ac:dyDescent="0.2">
      <c r="A37" s="191" t="s">
        <v>301</v>
      </c>
      <c r="B37">
        <v>1.03</v>
      </c>
      <c r="C37">
        <v>1.1499999999999999</v>
      </c>
      <c r="D37">
        <v>1.08</v>
      </c>
      <c r="E37">
        <v>1.1100000000000001</v>
      </c>
      <c r="F37">
        <v>1.1599999999999999</v>
      </c>
      <c r="G37">
        <v>1.1599999999999999</v>
      </c>
      <c r="H37">
        <v>1.04</v>
      </c>
      <c r="I37">
        <v>1.08</v>
      </c>
    </row>
    <row r="38" spans="1:9" x14ac:dyDescent="0.2">
      <c r="A38" s="191" t="s">
        <v>302</v>
      </c>
      <c r="B38">
        <v>1.22</v>
      </c>
      <c r="C38">
        <v>0.95</v>
      </c>
      <c r="D38">
        <v>1.28</v>
      </c>
      <c r="E38">
        <v>1.1100000000000001</v>
      </c>
      <c r="F38">
        <v>1</v>
      </c>
      <c r="G38">
        <v>0.95</v>
      </c>
      <c r="H38">
        <v>1.08</v>
      </c>
      <c r="I38">
        <v>1.1100000000000001</v>
      </c>
    </row>
    <row r="39" spans="1:9" x14ac:dyDescent="0.2">
      <c r="A39" s="191" t="s">
        <v>303</v>
      </c>
      <c r="B39">
        <v>1.1399999999999999</v>
      </c>
      <c r="C39">
        <v>1.03</v>
      </c>
      <c r="D39">
        <v>1.28</v>
      </c>
      <c r="E39">
        <v>1.2</v>
      </c>
      <c r="F39">
        <v>0.92</v>
      </c>
      <c r="G39">
        <v>1.03</v>
      </c>
      <c r="H39">
        <v>1.06</v>
      </c>
      <c r="I39">
        <v>1.2</v>
      </c>
    </row>
    <row r="40" spans="1:9" x14ac:dyDescent="0.2">
      <c r="A40" s="191" t="s">
        <v>304</v>
      </c>
      <c r="B40">
        <v>0.73</v>
      </c>
      <c r="C40">
        <v>0.5</v>
      </c>
      <c r="D40">
        <v>0.77</v>
      </c>
      <c r="E40">
        <v>0.64</v>
      </c>
      <c r="F40">
        <v>0.56999999999999995</v>
      </c>
      <c r="G40">
        <v>0.51</v>
      </c>
      <c r="H40">
        <v>0.56999999999999995</v>
      </c>
      <c r="I40">
        <v>0.62</v>
      </c>
    </row>
    <row r="41" spans="1:9" x14ac:dyDescent="0.2">
      <c r="A41" s="191" t="s">
        <v>305</v>
      </c>
      <c r="B41">
        <v>0.93</v>
      </c>
      <c r="C41">
        <v>1.0900000000000001</v>
      </c>
      <c r="D41">
        <v>1</v>
      </c>
      <c r="E41">
        <v>1.08</v>
      </c>
      <c r="F41">
        <v>0.92</v>
      </c>
      <c r="G41">
        <v>1.0900000000000001</v>
      </c>
      <c r="H41">
        <v>0.99</v>
      </c>
      <c r="I41">
        <v>1.08</v>
      </c>
    </row>
    <row r="42" spans="1:9" x14ac:dyDescent="0.2">
      <c r="A42" s="191" t="s">
        <v>306</v>
      </c>
      <c r="B42">
        <v>10.34</v>
      </c>
      <c r="C42">
        <v>2.65</v>
      </c>
      <c r="D42">
        <v>8.39</v>
      </c>
      <c r="E42">
        <v>2.63</v>
      </c>
      <c r="F42">
        <v>7.42</v>
      </c>
      <c r="G42">
        <v>2.99</v>
      </c>
      <c r="H42">
        <v>6.23</v>
      </c>
      <c r="I42">
        <v>2.87</v>
      </c>
    </row>
    <row r="43" spans="1:9" x14ac:dyDescent="0.2">
      <c r="A43" s="191" t="s">
        <v>307</v>
      </c>
      <c r="B43">
        <v>7.48</v>
      </c>
      <c r="C43">
        <v>2.41</v>
      </c>
      <c r="D43">
        <v>6.81</v>
      </c>
      <c r="E43">
        <v>2.12</v>
      </c>
      <c r="F43">
        <v>5.63</v>
      </c>
      <c r="G43">
        <v>2.44</v>
      </c>
      <c r="H43">
        <v>5.13</v>
      </c>
      <c r="I43">
        <v>2.2999999999999998</v>
      </c>
    </row>
    <row r="44" spans="1:9" x14ac:dyDescent="0.2">
      <c r="A44" s="191"/>
    </row>
    <row r="45" spans="1:9" x14ac:dyDescent="0.2">
      <c r="A45" s="191" t="s">
        <v>308</v>
      </c>
      <c r="B45" s="96">
        <v>2.7900000000000001E-2</v>
      </c>
      <c r="C45" s="96">
        <v>-3.3500000000000002E-2</v>
      </c>
      <c r="D45" s="96">
        <v>2.7900000000000001E-2</v>
      </c>
      <c r="E45" s="96">
        <v>-3.3500000000000002E-2</v>
      </c>
      <c r="F45" s="96">
        <v>-3.3E-3</v>
      </c>
      <c r="G45" s="96">
        <v>-3.3500000000000002E-2</v>
      </c>
      <c r="H45" s="96">
        <v>-3.3E-3</v>
      </c>
      <c r="I45" s="96">
        <v>-3.3500000000000002E-2</v>
      </c>
    </row>
    <row r="46" spans="1:9" x14ac:dyDescent="0.2">
      <c r="A46" s="191" t="s">
        <v>309</v>
      </c>
      <c r="B46" s="96">
        <v>7.6200000000000004E-2</v>
      </c>
      <c r="C46" s="96">
        <v>-0.1328</v>
      </c>
      <c r="D46" s="96">
        <v>7.6200000000000004E-2</v>
      </c>
      <c r="E46" s="96">
        <v>-0.1328</v>
      </c>
      <c r="F46" s="96">
        <v>-4.2900000000000001E-2</v>
      </c>
      <c r="G46" s="96">
        <v>-0.1328</v>
      </c>
      <c r="H46" s="96">
        <v>-4.2900000000000001E-2</v>
      </c>
      <c r="I46" s="96">
        <v>-0.1328</v>
      </c>
    </row>
    <row r="47" spans="1:9" x14ac:dyDescent="0.2">
      <c r="A47" s="191" t="s">
        <v>310</v>
      </c>
      <c r="B47" s="96">
        <v>0.24429999999999999</v>
      </c>
      <c r="C47" s="96">
        <v>0.1779</v>
      </c>
      <c r="D47" s="96">
        <v>0.24429999999999999</v>
      </c>
      <c r="E47" s="96">
        <v>0.1779</v>
      </c>
      <c r="F47" s="96">
        <v>0.1605</v>
      </c>
      <c r="G47" s="96">
        <v>0.1779</v>
      </c>
      <c r="H47" s="96">
        <v>0.1605</v>
      </c>
      <c r="I47" s="96">
        <v>0.1779</v>
      </c>
    </row>
    <row r="48" spans="1:9" x14ac:dyDescent="0.2">
      <c r="A48" s="191" t="s">
        <v>311</v>
      </c>
      <c r="B48" s="96">
        <v>0.16889999999999999</v>
      </c>
      <c r="C48" s="96">
        <v>-0.36520000000000002</v>
      </c>
      <c r="D48" s="96">
        <v>0.16889999999999999</v>
      </c>
      <c r="E48" s="96">
        <v>-0.36520000000000002</v>
      </c>
      <c r="F48" s="96">
        <v>-1.46E-2</v>
      </c>
      <c r="G48" s="96">
        <v>-0.36520000000000002</v>
      </c>
      <c r="H48" s="96">
        <v>-1.46E-2</v>
      </c>
      <c r="I48" s="96">
        <v>-0.36520000000000002</v>
      </c>
    </row>
    <row r="49" spans="1:9" x14ac:dyDescent="0.2">
      <c r="A49" s="191" t="s">
        <v>312</v>
      </c>
      <c r="B49" s="96">
        <v>0.1837</v>
      </c>
      <c r="C49" s="96">
        <v>-0.37330000000000002</v>
      </c>
      <c r="D49" s="96">
        <v>0.1837</v>
      </c>
      <c r="E49" s="96">
        <v>-0.37330000000000002</v>
      </c>
      <c r="F49" s="96">
        <v>-2.7400000000000001E-2</v>
      </c>
      <c r="G49" s="96">
        <v>-0.37330000000000002</v>
      </c>
      <c r="H49" s="96">
        <v>-2.7400000000000001E-2</v>
      </c>
      <c r="I49" s="96">
        <v>-0.37330000000000002</v>
      </c>
    </row>
    <row r="50" spans="1:9" x14ac:dyDescent="0.2">
      <c r="A50" s="191" t="s">
        <v>313</v>
      </c>
      <c r="B50" s="96">
        <v>0.1222</v>
      </c>
      <c r="C50" s="96">
        <v>-0.21809999999999999</v>
      </c>
      <c r="D50" s="96">
        <v>0.1351</v>
      </c>
      <c r="E50" s="96">
        <v>4.8599999999999997E-2</v>
      </c>
      <c r="F50" s="96">
        <v>-1.77E-2</v>
      </c>
      <c r="G50" s="96">
        <v>-0.21809999999999999</v>
      </c>
      <c r="H50" s="96">
        <v>1.9400000000000001E-2</v>
      </c>
      <c r="I50" s="96">
        <v>4.8599999999999997E-2</v>
      </c>
    </row>
    <row r="51" spans="1:9" x14ac:dyDescent="0.2">
      <c r="A51" s="191"/>
      <c r="B51" s="96"/>
      <c r="C51" s="96"/>
      <c r="D51" s="96"/>
      <c r="E51" s="96"/>
      <c r="F51" s="96"/>
      <c r="G51" s="96"/>
      <c r="H51" s="96"/>
      <c r="I51" s="96"/>
    </row>
    <row r="52" spans="1:9" x14ac:dyDescent="0.2">
      <c r="A52" s="191" t="s">
        <v>314</v>
      </c>
      <c r="B52" s="96">
        <v>9.5200000000000007E-2</v>
      </c>
      <c r="C52" s="96">
        <v>0.16009999999999999</v>
      </c>
      <c r="D52" s="96">
        <v>9.5200000000000007E-2</v>
      </c>
      <c r="E52" s="96">
        <v>0.16009999999999999</v>
      </c>
      <c r="F52" s="96">
        <v>0.10100000000000001</v>
      </c>
      <c r="G52" s="96">
        <v>0.16009999999999999</v>
      </c>
      <c r="H52" s="96">
        <v>0.10100000000000001</v>
      </c>
      <c r="I52" s="96">
        <v>0.16009999999999999</v>
      </c>
    </row>
    <row r="53" spans="1:9" x14ac:dyDescent="0.2">
      <c r="A53" s="191" t="s">
        <v>315</v>
      </c>
      <c r="B53" s="96">
        <v>-5.9700000000000003E-2</v>
      </c>
      <c r="C53" s="96">
        <v>-0.30659999999999998</v>
      </c>
      <c r="D53" s="96">
        <v>-5.9700000000000003E-2</v>
      </c>
      <c r="E53" s="96">
        <v>-0.30659999999999998</v>
      </c>
      <c r="F53" s="96">
        <v>-9.1499999999999998E-2</v>
      </c>
      <c r="G53" s="96">
        <v>-0.30659999999999998</v>
      </c>
      <c r="H53" s="96">
        <v>-9.1499999999999998E-2</v>
      </c>
      <c r="I53" s="96">
        <v>-0.30659999999999998</v>
      </c>
    </row>
    <row r="54" spans="1:9" x14ac:dyDescent="0.2">
      <c r="A54" s="191" t="s">
        <v>316</v>
      </c>
      <c r="B54" s="96">
        <v>6.1499999999999999E-2</v>
      </c>
      <c r="C54" s="96">
        <v>0.17899999999999999</v>
      </c>
      <c r="D54" s="96">
        <v>8.9200000000000002E-2</v>
      </c>
      <c r="E54" s="96">
        <v>0.3009</v>
      </c>
      <c r="F54" s="96">
        <v>8.4099999999999994E-2</v>
      </c>
      <c r="G54" s="96">
        <v>0.17899999999999999</v>
      </c>
      <c r="H54" s="96">
        <v>0.1328</v>
      </c>
      <c r="I54" s="96">
        <v>0.3009</v>
      </c>
    </row>
    <row r="55" spans="1:9" x14ac:dyDescent="0.2">
      <c r="A55" s="191" t="s">
        <v>317</v>
      </c>
      <c r="B55" s="96">
        <v>-5.7500000000000002E-2</v>
      </c>
      <c r="C55" s="96">
        <v>-0.30170000000000002</v>
      </c>
      <c r="D55" s="96">
        <v>-5.8999999999999997E-2</v>
      </c>
      <c r="E55" s="96">
        <v>-0.32169999999999999</v>
      </c>
      <c r="F55" s="96">
        <v>-9.7799999999999998E-2</v>
      </c>
      <c r="G55" s="96">
        <v>-0.30170000000000002</v>
      </c>
      <c r="H55" s="96">
        <v>-9.7799999999999998E-2</v>
      </c>
      <c r="I55" s="96">
        <v>-0.32169999999999999</v>
      </c>
    </row>
    <row r="56" spans="1:9" x14ac:dyDescent="0.2">
      <c r="A56" s="191" t="s">
        <v>318</v>
      </c>
      <c r="B56" s="96">
        <v>0.16889999999999999</v>
      </c>
      <c r="C56" s="96">
        <v>9.9699999999999997E-2</v>
      </c>
      <c r="D56" s="96">
        <v>0.24229999999999999</v>
      </c>
      <c r="E56" s="96">
        <v>1.0899000000000001</v>
      </c>
      <c r="F56" s="96">
        <v>-1.1299999999999999E-2</v>
      </c>
      <c r="G56" s="96">
        <v>9.9699999999999997E-2</v>
      </c>
      <c r="H56" s="96">
        <v>0.18720000000000001</v>
      </c>
      <c r="I56" s="96">
        <v>1.0899000000000001</v>
      </c>
    </row>
    <row r="57" spans="1:9" x14ac:dyDescent="0.2">
      <c r="A57" s="191" t="s">
        <v>319</v>
      </c>
      <c r="B57" s="96">
        <v>1.24E-2</v>
      </c>
      <c r="C57" s="96">
        <v>-0.36520000000000002</v>
      </c>
      <c r="D57" s="96">
        <v>2.3099999999999999E-2</v>
      </c>
      <c r="E57" s="96">
        <v>-0.36520000000000002</v>
      </c>
      <c r="F57" s="96">
        <v>-1.46E-2</v>
      </c>
      <c r="G57" s="96">
        <v>-0.36520000000000002</v>
      </c>
      <c r="H57" s="96">
        <v>-1.46E-2</v>
      </c>
      <c r="I57" s="96">
        <v>-0.36520000000000002</v>
      </c>
    </row>
    <row r="58" spans="1:9" x14ac:dyDescent="0.2">
      <c r="A58" s="191"/>
      <c r="B58" s="96"/>
      <c r="C58" s="96"/>
      <c r="D58" s="96"/>
      <c r="E58" s="96"/>
      <c r="F58" s="96"/>
      <c r="G58" s="96"/>
      <c r="H58" s="96"/>
      <c r="I58" s="96"/>
    </row>
    <row r="59" spans="1:9" x14ac:dyDescent="0.2">
      <c r="A59" s="191" t="s">
        <v>320</v>
      </c>
      <c r="B59" s="96">
        <v>-2.01E-2</v>
      </c>
      <c r="C59" s="96">
        <v>-0.17560000000000001</v>
      </c>
      <c r="D59" s="96">
        <v>-1.8100000000000002E-2</v>
      </c>
      <c r="E59" s="96">
        <v>-8.14E-2</v>
      </c>
      <c r="F59" s="96">
        <v>-6.8599999999999994E-2</v>
      </c>
      <c r="G59" s="96">
        <v>-0.17560000000000001</v>
      </c>
      <c r="H59" s="96">
        <v>-6.2899999999999998E-2</v>
      </c>
      <c r="I59" s="96">
        <v>-8.14E-2</v>
      </c>
    </row>
    <row r="60" spans="1:9" x14ac:dyDescent="0.2">
      <c r="A60" s="191" t="s">
        <v>321</v>
      </c>
      <c r="B60">
        <v>14</v>
      </c>
      <c r="C60">
        <v>89</v>
      </c>
      <c r="D60">
        <v>13</v>
      </c>
      <c r="E60">
        <v>42</v>
      </c>
      <c r="F60">
        <v>70</v>
      </c>
      <c r="G60">
        <v>89</v>
      </c>
      <c r="H60">
        <v>76</v>
      </c>
      <c r="I60">
        <v>42</v>
      </c>
    </row>
    <row r="61" spans="1:9" x14ac:dyDescent="0.2">
      <c r="A61" s="191" t="s">
        <v>322</v>
      </c>
      <c r="B61">
        <v>0.98</v>
      </c>
      <c r="C61">
        <v>0.27</v>
      </c>
      <c r="D61">
        <v>3.4</v>
      </c>
      <c r="E61">
        <v>1.39</v>
      </c>
      <c r="F61">
        <v>0.02</v>
      </c>
      <c r="G61">
        <v>0.27</v>
      </c>
      <c r="H61">
        <v>0.98</v>
      </c>
      <c r="I61">
        <v>1.39</v>
      </c>
    </row>
    <row r="62" spans="1:9" x14ac:dyDescent="0.2">
      <c r="A62" s="191" t="s">
        <v>323</v>
      </c>
      <c r="B62">
        <v>0.05</v>
      </c>
      <c r="C62">
        <v>0.39</v>
      </c>
      <c r="D62">
        <v>0.04</v>
      </c>
      <c r="E62">
        <v>0.28000000000000003</v>
      </c>
      <c r="F62">
        <v>0.13</v>
      </c>
      <c r="G62">
        <v>0.39</v>
      </c>
      <c r="H62">
        <v>0.1</v>
      </c>
      <c r="I62">
        <v>0.28000000000000003</v>
      </c>
    </row>
    <row r="63" spans="1:9" x14ac:dyDescent="0.2">
      <c r="A63" s="191" t="s">
        <v>324</v>
      </c>
      <c r="B63">
        <v>0.49</v>
      </c>
      <c r="C63">
        <v>-0.02</v>
      </c>
      <c r="D63">
        <v>2.44</v>
      </c>
      <c r="E63">
        <v>0.2</v>
      </c>
      <c r="F63">
        <v>0</v>
      </c>
      <c r="G63">
        <v>-0.02</v>
      </c>
      <c r="H63">
        <v>0.23</v>
      </c>
      <c r="I63">
        <v>0.2</v>
      </c>
    </row>
    <row r="64" spans="1:9" x14ac:dyDescent="0.2">
      <c r="A64" s="191"/>
    </row>
    <row r="65" spans="1:9" x14ac:dyDescent="0.2">
      <c r="A65" s="191" t="s">
        <v>325</v>
      </c>
      <c r="B65" s="96">
        <v>4.2099999999999999E-2</v>
      </c>
      <c r="C65" s="96">
        <v>7.5200000000000003E-2</v>
      </c>
      <c r="D65" s="96">
        <v>4.19E-2</v>
      </c>
      <c r="E65" s="96">
        <v>0.1169</v>
      </c>
      <c r="F65" s="96">
        <v>4.1500000000000002E-2</v>
      </c>
      <c r="G65" s="96">
        <v>0.10340000000000001</v>
      </c>
      <c r="H65" s="96">
        <v>5.3900000000000003E-2</v>
      </c>
      <c r="I65" s="96">
        <v>0.1363</v>
      </c>
    </row>
    <row r="66" spans="1:9" x14ac:dyDescent="0.2">
      <c r="A66" s="191" t="s">
        <v>326</v>
      </c>
      <c r="B66" s="96">
        <v>-2.6100000000000002E-2</v>
      </c>
      <c r="C66" s="96">
        <v>-0.19869999999999999</v>
      </c>
      <c r="D66" s="96">
        <v>-3.3500000000000002E-2</v>
      </c>
      <c r="E66" s="96">
        <v>-0.15870000000000001</v>
      </c>
      <c r="F66" s="96">
        <v>-5.4699999999999999E-2</v>
      </c>
      <c r="G66" s="96">
        <v>-0.1656</v>
      </c>
      <c r="H66" s="96">
        <v>-5.3100000000000001E-2</v>
      </c>
      <c r="I66" s="96">
        <v>-0.14549999999999999</v>
      </c>
    </row>
    <row r="67" spans="1:9" x14ac:dyDescent="0.2">
      <c r="A67" s="191" t="s">
        <v>327</v>
      </c>
      <c r="B67" s="96">
        <v>0.57769999999999999</v>
      </c>
      <c r="C67" s="96">
        <v>0.4582</v>
      </c>
      <c r="D67" s="96">
        <v>0.55500000000000005</v>
      </c>
      <c r="E67" s="96">
        <v>0.52049999999999996</v>
      </c>
      <c r="F67" s="96">
        <v>0.49</v>
      </c>
      <c r="G67" s="96">
        <v>0.4582</v>
      </c>
      <c r="H67" s="96">
        <v>0.50729999999999997</v>
      </c>
      <c r="I67" s="96">
        <v>0.52049999999999996</v>
      </c>
    </row>
    <row r="68" spans="1:9" x14ac:dyDescent="0.2">
      <c r="A68" s="191" t="s">
        <v>328</v>
      </c>
      <c r="B68" s="96">
        <v>0.61539999999999995</v>
      </c>
      <c r="C68" s="96">
        <v>0.53849999999999998</v>
      </c>
      <c r="D68" s="96">
        <v>0.70269999999999999</v>
      </c>
      <c r="E68" s="96">
        <v>0.62160000000000004</v>
      </c>
      <c r="F68" s="96">
        <v>0.53849999999999998</v>
      </c>
      <c r="G68" s="96">
        <v>0.53849999999999998</v>
      </c>
      <c r="H68" s="96">
        <v>0.54049999999999998</v>
      </c>
      <c r="I68" s="96">
        <v>0.62160000000000004</v>
      </c>
    </row>
    <row r="69" spans="1:9" x14ac:dyDescent="0.2">
      <c r="A69" s="191" t="s">
        <v>329</v>
      </c>
      <c r="B69" s="96">
        <v>0.8</v>
      </c>
      <c r="C69" s="96">
        <v>0.4</v>
      </c>
      <c r="D69" s="96">
        <v>0.84619999999999995</v>
      </c>
      <c r="E69" s="96">
        <v>0.61539999999999995</v>
      </c>
      <c r="F69" s="96">
        <v>0.4</v>
      </c>
      <c r="G69" s="96">
        <v>0.4</v>
      </c>
      <c r="H69" s="96">
        <v>0.61539999999999995</v>
      </c>
      <c r="I69" s="96">
        <v>0.61539999999999995</v>
      </c>
    </row>
    <row r="70" spans="1:9" x14ac:dyDescent="0.2">
      <c r="A70" s="191" t="s">
        <v>330</v>
      </c>
      <c r="B70" s="96">
        <v>1</v>
      </c>
      <c r="C70" s="96">
        <v>0.5</v>
      </c>
      <c r="D70" s="96">
        <v>1</v>
      </c>
      <c r="E70" s="96">
        <v>0.75</v>
      </c>
      <c r="F70" s="96">
        <v>0</v>
      </c>
      <c r="G70" s="96">
        <v>0.5</v>
      </c>
      <c r="H70" s="96">
        <v>0.5</v>
      </c>
      <c r="I70" s="96">
        <v>0.75</v>
      </c>
    </row>
    <row r="71" spans="1:9" x14ac:dyDescent="0.2">
      <c r="A71" s="191"/>
      <c r="B71" s="96"/>
      <c r="C71" s="96"/>
      <c r="D71" s="96"/>
      <c r="E71" s="96"/>
      <c r="F71" s="96"/>
      <c r="G71" s="96"/>
      <c r="H71" s="96"/>
      <c r="I71" s="96"/>
    </row>
    <row r="72" spans="1:9" x14ac:dyDescent="0.2">
      <c r="A72" s="191" t="s">
        <v>172</v>
      </c>
      <c r="B72" t="s">
        <v>160</v>
      </c>
      <c r="C72">
        <v>1.56</v>
      </c>
      <c r="D72" t="s">
        <v>160</v>
      </c>
      <c r="E72">
        <v>1.45</v>
      </c>
      <c r="F72" t="s">
        <v>160</v>
      </c>
      <c r="G72">
        <v>1.7</v>
      </c>
      <c r="H72" t="s">
        <v>160</v>
      </c>
      <c r="I72">
        <v>1.55</v>
      </c>
    </row>
    <row r="73" spans="1:9" x14ac:dyDescent="0.2">
      <c r="A73" s="191" t="s">
        <v>331</v>
      </c>
      <c r="B73" t="s">
        <v>160</v>
      </c>
      <c r="C73">
        <v>-0.45</v>
      </c>
      <c r="D73" t="s">
        <v>160</v>
      </c>
      <c r="E73">
        <v>-0.03</v>
      </c>
      <c r="F73" t="s">
        <v>160</v>
      </c>
      <c r="G73">
        <v>-0.17</v>
      </c>
      <c r="H73" t="s">
        <v>160</v>
      </c>
      <c r="I73">
        <v>0.14000000000000001</v>
      </c>
    </row>
    <row r="74" spans="1:9" x14ac:dyDescent="0.2">
      <c r="A74" s="191" t="s">
        <v>332</v>
      </c>
      <c r="B74" t="s">
        <v>160</v>
      </c>
      <c r="C74" s="96">
        <v>0.4773</v>
      </c>
      <c r="D74" t="s">
        <v>160</v>
      </c>
      <c r="E74" s="96">
        <v>0.43740000000000001</v>
      </c>
      <c r="F74" t="s">
        <v>160</v>
      </c>
      <c r="G74" s="96">
        <v>0.70120000000000005</v>
      </c>
      <c r="H74" t="s">
        <v>160</v>
      </c>
      <c r="I74" s="96">
        <v>0.64380000000000004</v>
      </c>
    </row>
    <row r="75" spans="1:9" x14ac:dyDescent="0.2">
      <c r="A75" s="191" t="s">
        <v>333</v>
      </c>
      <c r="B75" t="s">
        <v>160</v>
      </c>
      <c r="C75" s="96">
        <v>-0.1933</v>
      </c>
      <c r="D75" t="s">
        <v>160</v>
      </c>
      <c r="E75" s="96">
        <v>0.3659</v>
      </c>
      <c r="F75" t="s">
        <v>160</v>
      </c>
      <c r="G75" s="96">
        <v>-0.1777</v>
      </c>
      <c r="H75" t="s">
        <v>160</v>
      </c>
      <c r="I75" s="96">
        <v>0.3412</v>
      </c>
    </row>
  </sheetData>
  <mergeCells count="4">
    <mergeCell ref="B1:C1"/>
    <mergeCell ref="D1:E1"/>
    <mergeCell ref="F1:G1"/>
    <mergeCell ref="H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Overview</vt:lpstr>
      <vt:lpstr>Charts (Hidden)</vt:lpstr>
      <vt:lpstr>Inputs &amp; Assumptions</vt:lpstr>
      <vt:lpstr>BS</vt:lpstr>
      <vt:lpstr>IS</vt:lpstr>
      <vt:lpstr>CF</vt:lpstr>
      <vt:lpstr>DCF</vt:lpstr>
      <vt:lpstr>WACC</vt:lpstr>
      <vt:lpstr>Comparables</vt:lpstr>
      <vt:lpstr>Supporting Schedules</vt:lpstr>
      <vt:lpstr>Stock Benchmark 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Ni</dc:creator>
  <cp:lastModifiedBy>Nip403</cp:lastModifiedBy>
  <dcterms:created xsi:type="dcterms:W3CDTF">2025-10-19T15:04:40Z</dcterms:created>
  <dcterms:modified xsi:type="dcterms:W3CDTF">2025-11-05T17:06:20Z</dcterms:modified>
</cp:coreProperties>
</file>